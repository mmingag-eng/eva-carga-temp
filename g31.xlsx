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iedades" sheetId="1" state="visible" r:id="rId3"/>
    <sheet name="Altitud" sheetId="2" state="visible" r:id="rId4"/>
    <sheet name="Graf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<sst xmlns="http://schemas.openxmlformats.org/spreadsheetml/2006/main" count="51" uniqueCount="50">
  <si>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GUÍA 2 – SISTEMAS TERMODINÁMICOS Y PROPIEDADES</t>
  </si>
  <si>
    <t xml:space="preserve">P_abs = P_man + P_atm;  ρ = P_abs/(R·T)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</si>
  <si>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</si>
  <si>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</si>
  <si>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</si>
  <si>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</si>
  <si>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</si>
  <si>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Fuente / observación</t>
  </si>
  <si>
    <t xml:space="preserve">Constante del aire</t>
  </si>
  <si>
    <t xml:space="preserve">R</t>
  </si>
  <si>
    <t xml:space="preserve">J/(kg·K)</t>
  </si>
  <si>
    <t xml:space="preserve">Aire</t>
  </si>
  <si>
    <t xml:space="preserve">Altitud del lugar</t>
  </si>
  <si>
    <t xml:space="preserve">h</t>
  </si>
  <si>
    <t xml:space="preserve">m s. n. m.</t>
  </si>
  <si>
    <t xml:space="preserve">Loja (aproximado)</t>
  </si>
  <si>
    <t xml:space="preserve">Presión atmosférica estimada</t>
  </si>
  <si>
    <t xml:space="preserve">P_atm,est</t>
  </si>
  <si>
    <t xml:space="preserve">kPa</t>
  </si>
  <si>
    <t xml:space="preserve">Atmósfera estándar ISA (fórmula)</t>
  </si>
  <si>
    <t xml:space="preserve">Registro del escáner (Tabla 2 de la guía)</t>
  </si>
  <si>
    <t xml:space="preserve">Condición</t>
  </si>
  <si>
    <t xml:space="preserve">rpm</t>
  </si>
  <si>
    <t xml:space="preserve">MAP (kPa abs)</t>
  </si>
  <si>
    <t xml:space="preserve">ECT (°C)</t>
  </si>
  <si>
    <t xml:space="preserve">IAT (°C)</t>
  </si>
  <si>
    <t xml:space="preserve">P_man (kPa)</t>
  </si>
  <si>
    <t xml:space="preserve">Vacío (inHg)</t>
  </si>
  <si>
    <t xml:space="preserve">IAT (K)</t>
  </si>
  <si>
    <t xml:space="preserve">ρ aire (kg/m³)</t>
  </si>
  <si>
    <t xml:space="preserve">ECT (K)</t>
  </si>
  <si>
    <t xml:space="preserve">1. Motor apagado</t>
  </si>
  <si>
    <t xml:space="preserve">2. Ralentí, motor frío</t>
  </si>
  <si>
    <t xml:space="preserve">3. Ralentí, temperatura normal</t>
  </si>
  <si>
    <t xml:space="preserve">4. 2500 rpm estabilizado</t>
  </si>
  <si>
    <t xml:space="preserve">P_atm se toma del MAP con motor apagado (condición 1). Compárelo con la estimación ISA de la celda C8. Valores de ejemplo ilustrativos.</t>
  </si>
  <si>
    <t xml:space="preserve">Presión atmosférica y densidad del aire según la altitud</t>
  </si>
  <si>
    <t xml:space="preserve">Atmósfera estándar ISA (T = 15 °C − 6,5 °C/km)</t>
  </si>
  <si>
    <t xml:space="preserve">Ciudad / altitud</t>
  </si>
  <si>
    <t xml:space="preserve">h (m)</t>
  </si>
  <si>
    <t xml:space="preserve">P_atm (kPa)</t>
  </si>
  <si>
    <t xml:space="preserve">T ISA (K)</t>
  </si>
  <si>
    <t xml:space="preserve">Pérdida de densidad (%)</t>
  </si>
  <si>
    <t xml:space="preserve">Nivel del mar</t>
  </si>
  <si>
    <t xml:space="preserve">Guayaquil</t>
  </si>
  <si>
    <t xml:space="preserve">Cuenca</t>
  </si>
  <si>
    <t xml:space="preserve">Loja</t>
  </si>
  <si>
    <t xml:space="preserve">Quito</t>
  </si>
  <si>
    <t xml:space="preserve">Riobamba</t>
  </si>
  <si>
    <t xml:space="preserve">Ambato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</si>
</sst>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Densidad del aire de admisión por condición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Propiedades!I11</c:f>
              <c:strCache>
                <c:ptCount val="1"/>
                <c:pt idx="0">
                  <c:v>ρ aire (kg/m³)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Propiedades!$A$12:$A$15</c:f>
              <c:strCache>
                <c:ptCount val="4"/>
                <c:pt idx="0">
                  <c:v>1. Motor apagado</c:v>
                </c:pt>
                <c:pt idx="1">
                  <c:v>2. Ralentí, motor frío</c:v>
                </c:pt>
                <c:pt idx="2">
                  <c:v>3. Ralentí, temperatura normal</c:v>
                </c:pt>
                <c:pt idx="3">
                  <c:v>4. 2500 rpm estabilizado</c:v>
                </c:pt>
              </c:strCache>
            </c:strRef>
          </c:cat>
          <c:val>
            <c:numRef>
              <c:f>Propiedades!$I$12:$I$15</c:f>
              <c:numCache>
                <c:formatCode>0.000</c:formatCode>
                <c:ptCount val="4"/>
                <c:pt idx="0">
                  <c:v>0.935785565329974</c:v>
                </c:pt>
                <c:pt idx="1">
                  <c:v>0.386951298661324</c:v>
                </c:pt>
                <c:pt idx="2">
                  <c:v>0.335946060500526</c:v>
                </c:pt>
                <c:pt idx="3">
                  <c:v>0.289293739405312</c:v>
                </c:pt>
              </c:numCache>
            </c:numRef>
          </c:val>
        </c:ser>
        <c:gapWidth val="150"/>
        <c:overlap val="0"/>
        <c:axId val="94327701"/>
        <c:axId val="63908005"/>
      </c:barChart>
      <c:catAx>
        <c:axId val="94327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8005"/>
        <c:crosses val="autoZero"/>
        <c:auto val="1"/>
        <c:lblAlgn val="ctr"/>
        <c:lblOffset val="100"/>
        <c:noMultiLvlLbl val="0"/>
      </c:catAx>
      <c:valAx>
        <c:axId val="63908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ρ (kg/m³)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27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Densidad del aire según la altitud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Altitud!E4</c:f>
              <c:strCache>
                <c:ptCount val="1"/>
                <c:pt idx="0">
                  <c:v>ρ aire (kg/m³)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Altitud!$A$5:$A$11</c:f>
              <c:strCache>
                <c:ptCount val="7"/>
                <c:pt idx="0">
                  <c:v>Nivel del mar</c:v>
                </c:pt>
                <c:pt idx="1">
                  <c:v>Guayaquil</c:v>
                </c:pt>
                <c:pt idx="2">
                  <c:v>Cuenca</c:v>
                </c:pt>
                <c:pt idx="3">
                  <c:v>Loja</c:v>
                </c:pt>
                <c:pt idx="4">
                  <c:v>Quito</c:v>
                </c:pt>
                <c:pt idx="5">
                  <c:v>Riobamba</c:v>
                </c:pt>
                <c:pt idx="6">
                  <c:v>Ambato</c:v>
                </c:pt>
              </c:strCache>
            </c:strRef>
          </c:cat>
          <c:val>
            <c:numRef>
              <c:f>Altitud!$E$5:$E$11</c:f>
              <c:numCache>
                <c:formatCode>0.000</c:formatCode>
                <c:ptCount val="7"/>
                <c:pt idx="0">
                  <c:v>1.22522568276177</c:v>
                </c:pt>
                <c:pt idx="1">
                  <c:v>1.22475525114803</c:v>
                </c:pt>
                <c:pt idx="2">
                  <c:v>0.952175993090527</c:v>
                </c:pt>
                <c:pt idx="3">
                  <c:v>1.00061685814801</c:v>
                </c:pt>
                <c:pt idx="4">
                  <c:v>0.923417060437805</c:v>
                </c:pt>
                <c:pt idx="5">
                  <c:v>0.932546577727058</c:v>
                </c:pt>
                <c:pt idx="6">
                  <c:v>0.949559996718952</c:v>
                </c:pt>
              </c:numCache>
            </c:numRef>
          </c:val>
        </c:ser>
        <c:gapWidth val="150"/>
        <c:overlap val="0"/>
        <c:axId val="14978050"/>
        <c:axId val="90769464"/>
      </c:barChart>
      <c:catAx>
        <c:axId val="14978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69464"/>
        <c:crosses val="autoZero"/>
        <c:auto val="1"/>
        <c:lblAlgn val="ctr"/>
        <c:lblOffset val="100"/>
        <c:noMultiLvlLbl val="0"/>
      </c:catAx>
      <c:valAx>
        <c:axId val="90769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ρ (kg/m³)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8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287</v>
      </c>
      <c r="D6" s="5" t="s">
        <v>10</v>
      </c>
      <c r="E6" s="5" t="s">
        <v>11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v>2060</v>
      </c>
      <c r="D7" s="5" t="s">
        <v>14</v>
      </c>
      <c r="E7" s="5" t="s">
        <v>15</v>
      </c>
    </row>
    <row r="8" customFormat="false" ht="15" hidden="false" customHeight="false" outlineLevel="0" collapsed="false">
      <c r="A8" s="5" t="s">
        <v>16</v>
      </c>
      <c r="B8" s="5" t="s">
        <v>17</v>
      </c>
      <c r="C8" s="7" t="n">
        <f aca="false">101.325*(1-0.0000225577*C7)^5.25588</f>
        <v>78.9047630401421</v>
      </c>
      <c r="D8" s="5" t="s">
        <v>18</v>
      </c>
      <c r="E8" s="5" t="s">
        <v>19</v>
      </c>
    </row>
    <row r="10" customFormat="false" ht="15" hidden="false" customHeight="false" outlineLevel="0" collapsed="false">
      <c r="A10" s="8" t="s">
        <v>20</v>
      </c>
    </row>
    <row r="11" customFormat="false" ht="31.5" hidden="false" customHeight="true" outlineLevel="0" collapsed="false">
      <c r="A11" s="4" t="s">
        <v>21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  <c r="H11" s="4" t="s">
        <v>28</v>
      </c>
      <c r="I11" s="4" t="s">
        <v>29</v>
      </c>
      <c r="J11" s="4" t="s">
        <v>30</v>
      </c>
    </row>
    <row r="12" customFormat="false" ht="15" hidden="false" customHeight="false" outlineLevel="0" collapsed="false">
      <c r="A12" s="9" t="s">
        <v>31</v>
      </c>
      <c r="B12" s="10" t="n">
        <v>0</v>
      </c>
      <c r="C12" s="10" t="n">
        <v>79</v>
      </c>
      <c r="D12" s="10" t="n">
        <v>22</v>
      </c>
      <c r="E12" s="10" t="n">
        <v>21</v>
      </c>
      <c r="F12" s="7" t="n">
        <f aca="false">C12-$C$12</f>
        <v>0</v>
      </c>
      <c r="G12" s="7" t="n">
        <f aca="false">IF(F12&lt;0,-F12*0.2953,0)</f>
        <v>0</v>
      </c>
      <c r="H12" s="7" t="n">
        <f aca="false">E12+273.15</f>
        <v>294.15</v>
      </c>
      <c r="I12" s="11" t="n">
        <f aca="false">C12*1000/($C$6*H12)</f>
        <v>0.935785565329974</v>
      </c>
      <c r="J12" s="7" t="n">
        <f aca="false">D12+273.15</f>
        <v>295.15</v>
      </c>
    </row>
    <row r="13" customFormat="false" ht="15" hidden="false" customHeight="false" outlineLevel="0" collapsed="false">
      <c r="A13" s="9" t="s">
        <v>32</v>
      </c>
      <c r="B13" s="10" t="n">
        <v>850</v>
      </c>
      <c r="C13" s="10" t="n">
        <v>33</v>
      </c>
      <c r="D13" s="10" t="n">
        <v>35</v>
      </c>
      <c r="E13" s="10" t="n">
        <v>24</v>
      </c>
      <c r="F13" s="7" t="n">
        <f aca="false">C13-$C$12</f>
        <v>-46</v>
      </c>
      <c r="G13" s="7" t="n">
        <f aca="false">IF(F13&lt;0,-F13*0.2953,0)</f>
        <v>13.5838</v>
      </c>
      <c r="H13" s="7" t="n">
        <f aca="false">E13+273.15</f>
        <v>297.15</v>
      </c>
      <c r="I13" s="11" t="n">
        <f aca="false">C13*1000/($C$6*H13)</f>
        <v>0.386951298661324</v>
      </c>
      <c r="J13" s="7" t="n">
        <f aca="false">D13+273.15</f>
        <v>308.15</v>
      </c>
    </row>
    <row r="14" customFormat="false" ht="15" hidden="false" customHeight="false" outlineLevel="0" collapsed="false">
      <c r="A14" s="9" t="s">
        <v>33</v>
      </c>
      <c r="B14" s="10" t="n">
        <v>780</v>
      </c>
      <c r="C14" s="10" t="n">
        <v>30</v>
      </c>
      <c r="D14" s="10" t="n">
        <v>90</v>
      </c>
      <c r="E14" s="10" t="n">
        <v>38</v>
      </c>
      <c r="F14" s="7" t="n">
        <f aca="false">C14-$C$12</f>
        <v>-49</v>
      </c>
      <c r="G14" s="7" t="n">
        <f aca="false">IF(F14&lt;0,-F14*0.2953,0)</f>
        <v>14.4697</v>
      </c>
      <c r="H14" s="7" t="n">
        <f aca="false">E14+273.15</f>
        <v>311.15</v>
      </c>
      <c r="I14" s="11" t="n">
        <f aca="false">C14*1000/($C$6*H14)</f>
        <v>0.335946060500526</v>
      </c>
      <c r="J14" s="7" t="n">
        <f aca="false">D14+273.15</f>
        <v>363.15</v>
      </c>
    </row>
    <row r="15" customFormat="false" ht="15" hidden="false" customHeight="false" outlineLevel="0" collapsed="false">
      <c r="A15" s="9" t="s">
        <v>34</v>
      </c>
      <c r="B15" s="10" t="n">
        <v>2500</v>
      </c>
      <c r="C15" s="10" t="n">
        <v>26</v>
      </c>
      <c r="D15" s="10" t="n">
        <v>92</v>
      </c>
      <c r="E15" s="10" t="n">
        <v>40</v>
      </c>
      <c r="F15" s="7" t="n">
        <f aca="false">C15-$C$12</f>
        <v>-53</v>
      </c>
      <c r="G15" s="7" t="n">
        <f aca="false">IF(F15&lt;0,-F15*0.2953,0)</f>
        <v>15.6509</v>
      </c>
      <c r="H15" s="7" t="n">
        <f aca="false">E15+273.15</f>
        <v>313.15</v>
      </c>
      <c r="I15" s="11" t="n">
        <f aca="false">C15*1000/($C$6*H15)</f>
        <v>0.289293739405312</v>
      </c>
      <c r="J15" s="7" t="n">
        <f aca="false">D15+273.15</f>
        <v>365.15</v>
      </c>
    </row>
    <row r="17" customFormat="false" ht="15" hidden="false" customHeight="false" outlineLevel="0" collapsed="false">
      <c r="A17" s="1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29</v>
      </c>
      <c r="F4" s="4" t="s">
        <v>42</v>
      </c>
    </row>
    <row r="5" customFormat="false" ht="15" hidden="false" customHeight="false" outlineLevel="0" collapsed="false">
      <c r="A5" s="13" t="s">
        <v>43</v>
      </c>
      <c r="B5" s="6" t="n">
        <v>0</v>
      </c>
      <c r="C5" s="7" t="n">
        <f aca="false">101.325*(1-0.0000225577*B5)^5.25588</f>
        <v>101.325</v>
      </c>
      <c r="D5" s="7" t="n">
        <f aca="false">288.15-0.0065*B5</f>
        <v>288.15</v>
      </c>
      <c r="E5" s="11" t="n">
        <f aca="false">C5*1000/(Propiedades!$C$6*D5)</f>
        <v>1.22522568276177</v>
      </c>
      <c r="F5" s="14" t="n">
        <f aca="false">(1-E5/$E$5)*100</f>
        <v>0</v>
      </c>
    </row>
    <row r="6" customFormat="false" ht="15" hidden="false" customHeight="false" outlineLevel="0" collapsed="false">
      <c r="A6" s="13" t="s">
        <v>44</v>
      </c>
      <c r="B6" s="6" t="n">
        <v>4</v>
      </c>
      <c r="C6" s="7" t="n">
        <f aca="false">101.325*(1-0.0000225577*B6)^5.25588</f>
        <v>101.276956628769</v>
      </c>
      <c r="D6" s="7" t="n">
        <f aca="false">288.15-0.0065*B6</f>
        <v>288.124</v>
      </c>
      <c r="E6" s="11" t="n">
        <f aca="false">C6*1000/(Propiedades!$C$6*D6)</f>
        <v>1.22475525114803</v>
      </c>
      <c r="F6" s="14" t="n">
        <f aca="false">(1-E6/$E$5)*100</f>
        <v>0.0383955070778597</v>
      </c>
    </row>
    <row r="7" customFormat="false" ht="15" hidden="false" customHeight="false" outlineLevel="0" collapsed="false">
      <c r="A7" s="13" t="s">
        <v>45</v>
      </c>
      <c r="B7" s="6" t="n">
        <v>2550</v>
      </c>
      <c r="C7" s="7" t="n">
        <f aca="false">101.325*(1-0.0000225577*B7)^5.25588</f>
        <v>74.2145250578617</v>
      </c>
      <c r="D7" s="7" t="n">
        <f aca="false">288.15-0.0065*B7</f>
        <v>271.575</v>
      </c>
      <c r="E7" s="11" t="n">
        <f aca="false">C7*1000/(Propiedades!$C$6*D7)</f>
        <v>0.952175993090527</v>
      </c>
      <c r="F7" s="14" t="n">
        <f aca="false">(1-E7/$E$5)*100</f>
        <v>22.2856648789606</v>
      </c>
    </row>
    <row r="8" customFormat="false" ht="15" hidden="false" customHeight="false" outlineLevel="0" collapsed="false">
      <c r="A8" s="13" t="s">
        <v>46</v>
      </c>
      <c r="B8" s="6" t="n">
        <v>2060</v>
      </c>
      <c r="C8" s="7" t="n">
        <f aca="false">101.325*(1-0.0000225577*B8)^5.25588</f>
        <v>78.9047630401421</v>
      </c>
      <c r="D8" s="7" t="n">
        <f aca="false">288.15-0.0065*B8</f>
        <v>274.76</v>
      </c>
      <c r="E8" s="11" t="n">
        <f aca="false">C8*1000/(Propiedades!$C$6*D8)</f>
        <v>1.00061685814801</v>
      </c>
      <c r="F8" s="14" t="n">
        <f aca="false">(1-E8/$E$5)*100</f>
        <v>18.3320369278808</v>
      </c>
    </row>
    <row r="9" customFormat="false" ht="15" hidden="false" customHeight="false" outlineLevel="0" collapsed="false">
      <c r="A9" s="13" t="s">
        <v>47</v>
      </c>
      <c r="B9" s="6" t="n">
        <v>2850</v>
      </c>
      <c r="C9" s="7" t="n">
        <f aca="false">101.325*(1-0.0000225577*B9)^5.25588</f>
        <v>71.4562052521959</v>
      </c>
      <c r="D9" s="7" t="n">
        <f aca="false">288.15-0.0065*B9</f>
        <v>269.625</v>
      </c>
      <c r="E9" s="11" t="n">
        <f aca="false">C9*1000/(Propiedades!$C$6*D9)</f>
        <v>0.923417060437805</v>
      </c>
      <c r="F9" s="14" t="n">
        <f aca="false">(1-E9/$E$5)*100</f>
        <v>24.6329004174695</v>
      </c>
    </row>
    <row r="10" customFormat="false" ht="15" hidden="false" customHeight="false" outlineLevel="0" collapsed="false">
      <c r="A10" s="13" t="s">
        <v>48</v>
      </c>
      <c r="B10" s="6" t="n">
        <v>2754</v>
      </c>
      <c r="C10" s="7" t="n">
        <f aca="false">101.325*(1-0.0000225577*B10)^5.25588</f>
        <v>72.3296768841539</v>
      </c>
      <c r="D10" s="7" t="n">
        <f aca="false">288.15-0.0065*B10</f>
        <v>270.249</v>
      </c>
      <c r="E10" s="11" t="n">
        <f aca="false">C10*1000/(Propiedades!$C$6*D10)</f>
        <v>0.932546577727058</v>
      </c>
      <c r="F10" s="14" t="n">
        <f aca="false">(1-E10/$E$5)*100</f>
        <v>23.8877709757919</v>
      </c>
    </row>
    <row r="11" customFormat="false" ht="15" hidden="false" customHeight="false" outlineLevel="0" collapsed="false">
      <c r="A11" s="13" t="s">
        <v>49</v>
      </c>
      <c r="B11" s="6" t="n">
        <v>2577</v>
      </c>
      <c r="C11" s="7" t="n">
        <f aca="false">101.325*(1-0.0000225577*B11)^5.25588</f>
        <v>73.9628010905737</v>
      </c>
      <c r="D11" s="7" t="n">
        <f aca="false">288.15-0.0065*B11</f>
        <v>271.3995</v>
      </c>
      <c r="E11" s="11" t="n">
        <f aca="false">C11*1000/(Propiedades!$C$6*D11)</f>
        <v>0.949559996718952</v>
      </c>
      <c r="F11" s="14" t="n">
        <f aca="false">(1-E11/$E$5)*100</f>
        <v>22.4991762677914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2026-09-15T21:29:02Z</dcterms:created>
  <dc:creator>openpyxl</dc:creator>
  <dc:description/>
  <dc:language>en-US</dc:language>
  <cp:lastModifiedBy/>
  <dcterms:modified xsi:type="dcterms:W3CDTF">2026-09-15T21:29:05Z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