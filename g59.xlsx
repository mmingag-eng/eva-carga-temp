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Paquete_embrague" sheetId="3" state="visible" r:id="rId5"/>
    <sheet name="3_Holgura" sheetId="4" state="visible" r:id="rId6"/>
    <sheet name="4_Transeje" sheetId="5" state="visible" r:id="rId7"/>
  </sheets>
  <definedNames>
    <definedName function="false" hidden="false" name="Ap" vbProcedure="false">2_Paquete_embrague!$C$4</definedName>
    <definedName function="false" hidden="false" name="Dp" vbProcedure="false">1_Datos!$C$4</definedName>
    <definedName function="false" hidden="false" name="dp_0" vbProcedure="false">1_Datos!$C$5</definedName>
    <definedName function="false" hidden="false" name="eact" vbProcedure="false">1_Datos!$C$17</definedName>
    <definedName function="false" hidden="false" name="enew" vbProcedure="false">3_Holgura!$C$6</definedName>
    <definedName function="false" hidden="false" name="Fn" vbProcedure="false">2_Paquete_embrague!$C$5</definedName>
    <definedName function="false" hidden="false" name="Frr" vbProcedure="false">1_Datos!$C$7</definedName>
    <definedName function="false" hidden="false" name="hesp" vbProcedure="false">3_Holgura!$C$4</definedName>
    <definedName function="false" hidden="false" name="hmax" vbProcedure="false">1_Datos!$C$16</definedName>
    <definedName function="false" hidden="false" name="hmed" vbProcedure="false">1_Datos!$C$14</definedName>
    <definedName function="false" hidden="false" name="hmin" vbProcedure="false">1_Datos!$C$15</definedName>
    <definedName function="false" hidden="false" name="ifd" vbProcedure="false">4_Transeje!$C$5</definedName>
    <definedName function="false" hidden="false" name="itot" vbProcedure="false">4_Transeje!$C$6</definedName>
    <definedName function="false" hidden="false" name="itr" vbProcedure="false">4_Transeje!$C$4</definedName>
    <definedName function="false" hidden="false" name="Mc" vbProcedure="false">2_Paquete_embrague!$C$8</definedName>
    <definedName function="false" hidden="false" name="Min" vbProcedure="false">2_Paquete_embrague!$C$9</definedName>
    <definedName function="false" hidden="false" name="Mm" vbProcedure="false">1_Datos!$C$12</definedName>
    <definedName function="false" hidden="false" name="mu" vbProcedure="false">1_Datos!$C$10</definedName>
    <definedName function="false" hidden="false" name="nd" vbProcedure="false">1_Datos!$C$11</definedName>
    <definedName function="false" hidden="false" name="pap" vbProcedure="false">1_Datos!$C$6</definedName>
    <definedName function="false" hidden="false" name="Rd" vbProcedure="false">1_Datos!$C$8</definedName>
    <definedName function="false" hidden="false" name="rd_0" vbProcedure="false">1_Datos!$C$9</definedName>
    <definedName function="false" hidden="false" name="rm" vbProcedure="false">2_Paquete_embrague!$C$6</definedName>
    <definedName function="false" hidden="false" name="Sf" vbProcedure="false">2_Paquete_embrague!$C$10</definedName>
    <definedName function="false" hidden="false" name="tc" vbProcedure="false">1_Datos!$C$13</definedName>
    <definedName function="false" hidden="false" name="Z1" vbProcedure="false">1_Datos!$C$18</definedName>
    <definedName function="false" hidden="false" name="Z2" vbProcedure="false">1_Datos!$C$19</definedName>
    <definedName function="false" hidden="false" name="Zc" vbProcedure="false">1_Datos!$C$21</definedName>
    <definedName function="false" hidden="false" name="zc_0" vbProcedure="false">2_Paquete_embrague!$C$7</definedName>
    <definedName function="false" hidden="false" name="Zp" vbProcedure="false">1_Datos!$C$20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<sst xmlns="http://schemas.openxmlformats.org/spreadsheetml/2006/main" count="139" uniqueCount="110">
  <si>
    <t xml:space="preserve">PRÁCTICA 7 – RECONOCIMIENTO DE COMPONENTES DE LA TRANSMISIÓN AUTOMÁTICA: PAQUETES DE EMBRAGUE Y RELACIONES DEL TRANSEJE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</si>
  <si>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</si>
  <si>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</si>
  <si>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</si>
  <si>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</si>
  <si>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</si>
  <si>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</si>
  <si>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dimensiones del pistón y de los discos, presión, resorte de retorno, holgura medida y dientes contados del transeje.</t>
  </si>
  <si>
    <t xml:space="preserve">2_Paquete_embrague: área del pistón, fuerza neta, par transmisible y factor de seguridad del paquete. Ecuaciones (1) a (4).</t>
  </si>
  <si>
    <t xml:space="preserve">3_Holgura: comparación de la holgura medida con la especificación y espesor del plato de retención a montar. Ecuaciones (5) y (6).</t>
  </si>
  <si>
    <t xml:space="preserve">4_Transeje: relaciones de transferencia, grupo final y total del transeje. Ecuación (7).</t>
  </si>
  <si>
    <t xml:space="preserve">Interpretación:</t>
  </si>
  <si>
    <t xml:space="preserve">• Si la holgura del paquete es mayor que la especificada, el embrague tarda en aplicarse y patina; si es menor, arrastra y se quema. • Cada disco de fricción aporta dos caras: añadir un disco aumenta el par transmisible sin elevar la presión.</t>
  </si>
  <si>
    <t xml:space="preserve">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</si>
  <si>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</si>
  <si>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</si>
  <si>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</si>
  <si>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</si>
  <si>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</si>
  <si>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Diámetro exterior del pistón</t>
  </si>
  <si>
    <t xml:space="preserve">D</t>
  </si>
  <si>
    <t xml:space="preserve">mm</t>
  </si>
  <si>
    <t xml:space="preserve">Medir</t>
  </si>
  <si>
    <t xml:space="preserve">Diámetro interior del pistón</t>
  </si>
  <si>
    <t xml:space="preserve">d</t>
  </si>
  <si>
    <t xml:space="preserve">Presión de aplicación</t>
  </si>
  <si>
    <t xml:space="preserve">p</t>
  </si>
  <si>
    <t xml:space="preserve">MPa</t>
  </si>
  <si>
    <t xml:space="preserve">Manual de servicio</t>
  </si>
  <si>
    <t xml:space="preserve">Fuerza del resorte de retorno</t>
  </si>
  <si>
    <t xml:space="preserve">Fr</t>
  </si>
  <si>
    <t xml:space="preserve">N</t>
  </si>
  <si>
    <t xml:space="preserve">Radio exterior del disco de fricción</t>
  </si>
  <si>
    <t xml:space="preserve">R</t>
  </si>
  <si>
    <t xml:space="preserve">m</t>
  </si>
  <si>
    <t xml:space="preserve">Radio interior del disco de fricción</t>
  </si>
  <si>
    <t xml:space="preserve">r</t>
  </si>
  <si>
    <t xml:space="preserve">Coeficiente de rozamiento en aceite</t>
  </si>
  <si>
    <t xml:space="preserve">μ</t>
  </si>
  <si>
    <t xml:space="preserve">—</t>
  </si>
  <si>
    <t xml:space="preserve">0,10 a 0,14</t>
  </si>
  <si>
    <t xml:space="preserve">Número de discos de fricción</t>
  </si>
  <si>
    <t xml:space="preserve">nd</t>
  </si>
  <si>
    <t xml:space="preserve">Contar</t>
  </si>
  <si>
    <t xml:space="preserve">Par máximo del motor</t>
  </si>
  <si>
    <t xml:space="preserve">Mm</t>
  </si>
  <si>
    <t xml:space="preserve">N·m</t>
  </si>
  <si>
    <t xml:space="preserve">Relación de par del convertidor en calado</t>
  </si>
  <si>
    <t xml:space="preserve">tc</t>
  </si>
  <si>
    <t xml:space="preserve">Holgura medida del paquete</t>
  </si>
  <si>
    <t xml:space="preserve">hmed</t>
  </si>
  <si>
    <t xml:space="preserve">Galgas entre plato y seguro</t>
  </si>
  <si>
    <t xml:space="preserve">Holgura mínima especificada</t>
  </si>
  <si>
    <t xml:space="preserve">hmín</t>
  </si>
  <si>
    <t xml:space="preserve">Holgura máxima especificada</t>
  </si>
  <si>
    <t xml:space="preserve">hmáx</t>
  </si>
  <si>
    <t xml:space="preserve">Espesor del plato de retención actual</t>
  </si>
  <si>
    <t xml:space="preserve">eact</t>
  </si>
  <si>
    <t xml:space="preserve">Micrómetro</t>
  </si>
  <si>
    <t xml:space="preserve">Dientes del engranaje conductor de transferencia</t>
  </si>
  <si>
    <t xml:space="preserve">Z1</t>
  </si>
  <si>
    <t xml:space="preserve">Dientes del engranaje conducido de transferencia</t>
  </si>
  <si>
    <t xml:space="preserve">Z2</t>
  </si>
  <si>
    <t xml:space="preserve">Dientes del piñón del grupo final</t>
  </si>
  <si>
    <t xml:space="preserve">Zp</t>
  </si>
  <si>
    <t xml:space="preserve">Dientes de la corona del diferencial</t>
  </si>
  <si>
    <t xml:space="preserve">Zc</t>
  </si>
  <si>
    <t xml:space="preserve">Par transmisible del paquete de discos</t>
  </si>
  <si>
    <t xml:space="preserve">RESULTADOS</t>
  </si>
  <si>
    <t xml:space="preserve">Área anular del pistón</t>
  </si>
  <si>
    <t xml:space="preserve">Ap</t>
  </si>
  <si>
    <t xml:space="preserve">mm²</t>
  </si>
  <si>
    <t xml:space="preserve">Ec. (1)</t>
  </si>
  <si>
    <t xml:space="preserve">Fuerza neta de apriete</t>
  </si>
  <si>
    <t xml:space="preserve">F</t>
  </si>
  <si>
    <t xml:space="preserve">Ec. (2)</t>
  </si>
  <si>
    <t xml:space="preserve">Radio medio</t>
  </si>
  <si>
    <t xml:space="preserve">rm</t>
  </si>
  <si>
    <t xml:space="preserve">Caras de fricción</t>
  </si>
  <si>
    <t xml:space="preserve">z</t>
  </si>
  <si>
    <t xml:space="preserve">Par transmisible</t>
  </si>
  <si>
    <t xml:space="preserve">Mc</t>
  </si>
  <si>
    <t xml:space="preserve">Ec. (3)</t>
  </si>
  <si>
    <t xml:space="preserve">Par de entrada máximo (calado)</t>
  </si>
  <si>
    <t xml:space="preserve">Min</t>
  </si>
  <si>
    <t xml:space="preserve">Factor de seguridad</t>
  </si>
  <si>
    <t xml:space="preserve">S</t>
  </si>
  <si>
    <t xml:space="preserve">Ec. (4)</t>
  </si>
  <si>
    <t xml:space="preserve">p (MPa)</t>
  </si>
  <si>
    <t xml:space="preserve">M 2 discos</t>
  </si>
  <si>
    <t xml:space="preserve">M 3 discos</t>
  </si>
  <si>
    <t xml:space="preserve">M 4 discos</t>
  </si>
  <si>
    <t xml:space="preserve">M 5 discos</t>
  </si>
  <si>
    <t xml:space="preserve">Par entrada</t>
  </si>
  <si>
    <t xml:space="preserve">Holgura del paquete y selección del plato</t>
  </si>
  <si>
    <t xml:space="preserve">Holgura especificada media</t>
  </si>
  <si>
    <t xml:space="preserve">hesp</t>
  </si>
  <si>
    <t xml:space="preserve">Ec. (5)</t>
  </si>
  <si>
    <t xml:space="preserve">Estado de la holgura</t>
  </si>
  <si>
    <t xml:space="preserve">Espesor del plato a montar</t>
  </si>
  <si>
    <t xml:space="preserve">enuevo</t>
  </si>
  <si>
    <t xml:space="preserve">Ec. (6)</t>
  </si>
  <si>
    <t xml:space="preserve">Relaciones del transeje</t>
  </si>
  <si>
    <t xml:space="preserve">Relación de transferencia</t>
  </si>
  <si>
    <t xml:space="preserve">itr</t>
  </si>
  <si>
    <t xml:space="preserve">Ec. (7)</t>
  </si>
  <si>
    <t xml:space="preserve">Relación del grupo final</t>
  </si>
  <si>
    <t xml:space="preserve">ifd</t>
  </si>
  <si>
    <t xml:space="preserve">Relación total después del tren epicicloidal</t>
  </si>
  <si>
    <t xml:space="preserve">itot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</si>
</sst>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 transmisible del paquete según la presión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"2 discos"</c:f>
              <c:strCache>
                <c:ptCount val="1"/>
                <c:pt idx="0">
                  <c:v>2 discos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2_Paquete_embrague!$A$14:$A$19</c:f>
              <c:numCache>
                <c:formatCode>General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2_Paquete_embrague!$B$14:$B$19</c:f>
              <c:numCache>
                <c:formatCode>General</c:formatCode>
                <c:ptCount val="6"/>
                <c:pt idx="0">
                  <c:v>-26.88</c:v>
                </c:pt>
                <c:pt idx="1">
                  <c:v>-26.88</c:v>
                </c:pt>
                <c:pt idx="2">
                  <c:v>-26.88</c:v>
                </c:pt>
                <c:pt idx="3">
                  <c:v>-26.88</c:v>
                </c:pt>
                <c:pt idx="4">
                  <c:v>-26.88</c:v>
                </c:pt>
                <c:pt idx="5">
                  <c:v>-26.88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"3 discos"</c:f>
              <c:strCache>
                <c:ptCount val="1"/>
                <c:pt idx="0">
                  <c:v>3 discos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2_Paquete_embrague!$A$14:$A$19</c:f>
              <c:numCache>
                <c:formatCode>General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2_Paquete_embrague!$C$14:$C$19</c:f>
              <c:numCache>
                <c:formatCode>General</c:formatCode>
                <c:ptCount val="6"/>
                <c:pt idx="0">
                  <c:v>-40.32</c:v>
                </c:pt>
                <c:pt idx="1">
                  <c:v>-40.32</c:v>
                </c:pt>
                <c:pt idx="2">
                  <c:v>-40.32</c:v>
                </c:pt>
                <c:pt idx="3">
                  <c:v>-40.32</c:v>
                </c:pt>
                <c:pt idx="4">
                  <c:v>-40.32</c:v>
                </c:pt>
                <c:pt idx="5">
                  <c:v>-40.32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 discos"</c:f>
              <c:strCache>
                <c:ptCount val="1"/>
                <c:pt idx="0">
                  <c:v>4 discos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2_Paquete_embrague!$A$14:$A$19</c:f>
              <c:numCache>
                <c:formatCode>General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2_Paquete_embrague!$D$14:$D$19</c:f>
              <c:numCache>
                <c:formatCode>General</c:formatCode>
                <c:ptCount val="6"/>
                <c:pt idx="0">
                  <c:v>-53.76</c:v>
                </c:pt>
                <c:pt idx="1">
                  <c:v>-53.76</c:v>
                </c:pt>
                <c:pt idx="2">
                  <c:v>-53.76</c:v>
                </c:pt>
                <c:pt idx="3">
                  <c:v>-53.76</c:v>
                </c:pt>
                <c:pt idx="4">
                  <c:v>-53.76</c:v>
                </c:pt>
                <c:pt idx="5">
                  <c:v>-53.76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"5 discos"</c:f>
              <c:strCache>
                <c:ptCount val="1"/>
                <c:pt idx="0">
                  <c:v>5 discos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2_Paquete_embrague!$A$14:$A$19</c:f>
              <c:numCache>
                <c:formatCode>General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2_Paquete_embrague!$E$14:$E$19</c:f>
              <c:numCache>
                <c:formatCode>General</c:formatCode>
                <c:ptCount val="6"/>
                <c:pt idx="0">
                  <c:v>-67.2</c:v>
                </c:pt>
                <c:pt idx="1">
                  <c:v>-67.2</c:v>
                </c:pt>
                <c:pt idx="2">
                  <c:v>-67.2</c:v>
                </c:pt>
                <c:pt idx="3">
                  <c:v>-67.2</c:v>
                </c:pt>
                <c:pt idx="4">
                  <c:v>-67.2</c:v>
                </c:pt>
                <c:pt idx="5">
                  <c:v>-67.2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"Par de entrada"</c:f>
              <c:strCache>
                <c:ptCount val="1"/>
                <c:pt idx="0">
                  <c:v>Par de entrada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2_Paquete_embrague!$A$14:$A$19</c:f>
              <c:numCache>
                <c:formatCode>General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</c:numCache>
            </c:numRef>
          </c:xVal>
          <c:yVal>
            <c:numRef>
              <c:f>2_Paquete_embrague!$F$14:$F$19</c:f>
              <c:numCache>
                <c:formatCode>0.0000</c:formatCode>
                <c:ptCount val="6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</c:numCache>
            </c:numRef>
          </c:yVal>
          <c:smooth val="0"/>
        </c:ser>
        <c:axId val="22946865"/>
        <c:axId val="67722117"/>
      </c:scatterChart>
      <c:valAx>
        <c:axId val="229468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22117"/>
        <c:crosses val="autoZero"/>
        <c:crossBetween val="midCat"/>
      </c:valAx>
      <c:valAx>
        <c:axId val="6772211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N·m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4686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23</xdr:row>
      <xdr:rowOff>149400</xdr:rowOff>
    </xdr:to>
    <xdr:graphicFrame>
      <xdr:nvGraphicFramePr>
        <xdr:cNvPr id="0" name="Chart 1"/>
        <xdr:cNvGraphicFramePr/>
      </xdr:nvGraphicFramePr>
      <xdr:xfrm>
        <a:off x="428040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28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8.3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13</v>
      </c>
    </row>
    <row r="3" customFormat="false" ht="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</row>
    <row r="4" customFormat="false" ht="15" hidden="false" customHeight="false" outlineLevel="0" collapsed="false">
      <c r="A4" s="0" t="s">
        <v>19</v>
      </c>
      <c r="B4" s="0" t="s">
        <v>20</v>
      </c>
      <c r="C4" s="6" t="n">
        <v>150</v>
      </c>
      <c r="D4" s="7" t="s">
        <v>21</v>
      </c>
      <c r="E4" s="7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6" t="n">
        <v>110</v>
      </c>
      <c r="D5" s="7" t="s">
        <v>21</v>
      </c>
    </row>
    <row r="6" customFormat="false" ht="15" hidden="false" customHeight="false" outlineLevel="0" collapsed="false">
      <c r="A6" s="0" t="s">
        <v>25</v>
      </c>
      <c r="B6" s="0" t="s">
        <v>26</v>
      </c>
      <c r="C6" s="6" t="n">
        <v>0.8</v>
      </c>
      <c r="D6" s="7" t="s">
        <v>27</v>
      </c>
      <c r="E6" s="7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6" t="n">
        <v>800</v>
      </c>
      <c r="D7" s="7" t="s">
        <v>31</v>
      </c>
    </row>
    <row r="8" customFormat="false" ht="15" hidden="false" customHeight="false" outlineLevel="0" collapsed="false">
      <c r="A8" s="0" t="s">
        <v>32</v>
      </c>
      <c r="B8" s="0" t="s">
        <v>33</v>
      </c>
      <c r="C8" s="6" t="n">
        <v>0.07</v>
      </c>
      <c r="D8" s="7" t="s">
        <v>34</v>
      </c>
    </row>
    <row r="9" customFormat="false" ht="15" hidden="false" customHeight="false" outlineLevel="0" collapsed="false">
      <c r="A9" s="0" t="s">
        <v>35</v>
      </c>
      <c r="B9" s="0" t="s">
        <v>36</v>
      </c>
      <c r="C9" s="6" t="n">
        <v>0.055</v>
      </c>
      <c r="D9" s="7" t="s">
        <v>34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6" t="n">
        <v>0.12</v>
      </c>
      <c r="D10" s="7" t="s">
        <v>39</v>
      </c>
      <c r="E10" s="7" t="s">
        <v>40</v>
      </c>
    </row>
    <row r="11" customFormat="false" ht="15" hidden="false" customHeight="false" outlineLevel="0" collapsed="false">
      <c r="A11" s="0" t="s">
        <v>41</v>
      </c>
      <c r="B11" s="0" t="s">
        <v>42</v>
      </c>
      <c r="C11" s="6" t="n">
        <v>4</v>
      </c>
      <c r="D11" s="7" t="s">
        <v>39</v>
      </c>
      <c r="E11" s="7" t="s">
        <v>43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6" t="n">
        <v>120</v>
      </c>
      <c r="D12" s="7" t="s">
        <v>46</v>
      </c>
    </row>
    <row r="13" customFormat="false" ht="15" hidden="false" customHeight="false" outlineLevel="0" collapsed="false">
      <c r="A13" s="0" t="s">
        <v>47</v>
      </c>
      <c r="B13" s="0" t="s">
        <v>48</v>
      </c>
      <c r="C13" s="6" t="n">
        <v>2</v>
      </c>
      <c r="D13" s="7" t="s">
        <v>39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6" t="n">
        <v>2.1</v>
      </c>
      <c r="D14" s="7" t="s">
        <v>21</v>
      </c>
      <c r="E14" s="7" t="s">
        <v>51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6" t="n">
        <v>1.2</v>
      </c>
      <c r="D15" s="7" t="s">
        <v>21</v>
      </c>
    </row>
    <row r="16" customFormat="false" ht="15" hidden="false" customHeight="false" outlineLevel="0" collapsed="false">
      <c r="A16" s="0" t="s">
        <v>54</v>
      </c>
      <c r="B16" s="0" t="s">
        <v>55</v>
      </c>
      <c r="C16" s="6" t="n">
        <v>1.6</v>
      </c>
      <c r="D16" s="7" t="s">
        <v>21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6" t="n">
        <v>2.4</v>
      </c>
      <c r="D17" s="7" t="s">
        <v>21</v>
      </c>
      <c r="E17" s="7" t="s">
        <v>58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6" t="n">
        <v>43</v>
      </c>
      <c r="D18" s="7" t="s">
        <v>39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6" t="n">
        <v>45</v>
      </c>
      <c r="D19" s="7" t="s">
        <v>39</v>
      </c>
    </row>
    <row r="20" customFormat="false" ht="15" hidden="false" customHeight="false" outlineLevel="0" collapsed="false">
      <c r="A20" s="0" t="s">
        <v>63</v>
      </c>
      <c r="B20" s="0" t="s">
        <v>64</v>
      </c>
      <c r="C20" s="6" t="n">
        <v>19</v>
      </c>
      <c r="D20" s="7" t="s">
        <v>39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6" t="n">
        <v>66</v>
      </c>
      <c r="D21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67</v>
      </c>
    </row>
    <row r="3" customFormat="false" ht="15" hidden="false" customHeight="false" outlineLevel="0" collapsed="false">
      <c r="A3" s="8" t="s">
        <v>68</v>
      </c>
    </row>
    <row r="4" customFormat="false" ht="15" hidden="false" customHeight="false" outlineLevel="0" collapsed="false">
      <c r="A4" s="0" t="s">
        <v>69</v>
      </c>
      <c r="B4" s="0" t="s">
        <v>70</v>
      </c>
      <c r="C4" s="9" t="n">
        <f aca="false">PI()/4*(Dp^2-Dp^2)</f>
        <v>0</v>
      </c>
      <c r="D4" s="7" t="s">
        <v>71</v>
      </c>
      <c r="E4" s="7" t="s">
        <v>72</v>
      </c>
    </row>
    <row r="5" customFormat="false" ht="15" hidden="false" customHeight="false" outlineLevel="0" collapsed="false">
      <c r="A5" s="0" t="s">
        <v>73</v>
      </c>
      <c r="B5" s="0" t="s">
        <v>74</v>
      </c>
      <c r="C5" s="9" t="n">
        <f aca="false">pap*Ap-Frr</f>
        <v>-800</v>
      </c>
      <c r="D5" s="7" t="s">
        <v>31</v>
      </c>
      <c r="E5" s="7" t="s">
        <v>75</v>
      </c>
    </row>
    <row r="6" customFormat="false" ht="15" hidden="false" customHeight="false" outlineLevel="0" collapsed="false">
      <c r="A6" s="0" t="s">
        <v>76</v>
      </c>
      <c r="B6" s="0" t="s">
        <v>77</v>
      </c>
      <c r="C6" s="9" t="n">
        <f aca="false">(Rd+Rd)/2</f>
        <v>0.07</v>
      </c>
      <c r="D6" s="7" t="s">
        <v>34</v>
      </c>
    </row>
    <row r="7" customFormat="false" ht="15" hidden="false" customHeight="false" outlineLevel="0" collapsed="false">
      <c r="A7" s="0" t="s">
        <v>78</v>
      </c>
      <c r="B7" s="0" t="s">
        <v>79</v>
      </c>
      <c r="C7" s="9" t="n">
        <f aca="false">2*nd</f>
        <v>8</v>
      </c>
      <c r="D7" s="7" t="s">
        <v>39</v>
      </c>
    </row>
    <row r="8" customFormat="false" ht="15" hidden="false" customHeight="false" outlineLevel="0" collapsed="false">
      <c r="A8" s="0" t="s">
        <v>80</v>
      </c>
      <c r="B8" s="0" t="s">
        <v>81</v>
      </c>
      <c r="C8" s="9" t="n">
        <f aca="false">mu*Fn*rm*Zc</f>
        <v>-443.52</v>
      </c>
      <c r="D8" s="7" t="s">
        <v>46</v>
      </c>
      <c r="E8" s="7" t="s">
        <v>82</v>
      </c>
    </row>
    <row r="9" customFormat="false" ht="15" hidden="false" customHeight="false" outlineLevel="0" collapsed="false">
      <c r="A9" s="0" t="s">
        <v>83</v>
      </c>
      <c r="B9" s="0" t="s">
        <v>84</v>
      </c>
      <c r="C9" s="9" t="n">
        <f aca="false">Mm*tc</f>
        <v>240</v>
      </c>
      <c r="D9" s="7" t="s">
        <v>46</v>
      </c>
    </row>
    <row r="10" customFormat="false" ht="15" hidden="false" customHeight="false" outlineLevel="0" collapsed="false">
      <c r="A10" s="0" t="s">
        <v>85</v>
      </c>
      <c r="B10" s="0" t="s">
        <v>86</v>
      </c>
      <c r="C10" s="9" t="n">
        <f aca="false">Mc/Min</f>
        <v>-1.848</v>
      </c>
      <c r="D10" s="7" t="s">
        <v>39</v>
      </c>
      <c r="E10" s="7" t="s">
        <v>87</v>
      </c>
    </row>
    <row r="13" customFormat="false" ht="28.35" hidden="false" customHeight="false" outlineLevel="0" collapsed="false">
      <c r="A13" s="5" t="s">
        <v>88</v>
      </c>
      <c r="B13" s="5" t="s">
        <v>89</v>
      </c>
      <c r="C13" s="5" t="s">
        <v>90</v>
      </c>
      <c r="D13" s="5" t="s">
        <v>91</v>
      </c>
      <c r="E13" s="5" t="s">
        <v>92</v>
      </c>
      <c r="F13" s="5" t="s">
        <v>93</v>
      </c>
    </row>
    <row r="14" customFormat="false" ht="15" hidden="false" customHeight="false" outlineLevel="0" collapsed="false">
      <c r="A14" s="0" t="n">
        <v>0.2</v>
      </c>
      <c r="B14" s="10" t="n">
        <f aca="false">mu*(A14*Ap-Frr)*rm*2*2</f>
        <v>-26.88</v>
      </c>
      <c r="C14" s="10" t="n">
        <f aca="false">mu*(A14*Ap-Frr)*rm*2*3</f>
        <v>-40.32</v>
      </c>
      <c r="D14" s="10" t="n">
        <f aca="false">mu*(A14*Ap-Frr)*rm*2*4</f>
        <v>-53.76</v>
      </c>
      <c r="E14" s="10" t="n">
        <f aca="false">mu*(A14*Ap-Frr)*rm*2*5</f>
        <v>-67.2</v>
      </c>
      <c r="F14" s="9" t="n">
        <f aca="false">Min</f>
        <v>240</v>
      </c>
    </row>
    <row r="15" customFormat="false" ht="15" hidden="false" customHeight="false" outlineLevel="0" collapsed="false">
      <c r="A15" s="0" t="n">
        <v>0.4</v>
      </c>
      <c r="B15" s="10" t="n">
        <f aca="false">mu*(A15*Ap-Frr)*rm*2*2</f>
        <v>-26.88</v>
      </c>
      <c r="C15" s="10" t="n">
        <f aca="false">mu*(A15*Ap-Frr)*rm*2*3</f>
        <v>-40.32</v>
      </c>
      <c r="D15" s="10" t="n">
        <f aca="false">mu*(A15*Ap-Frr)*rm*2*4</f>
        <v>-53.76</v>
      </c>
      <c r="E15" s="10" t="n">
        <f aca="false">mu*(A15*Ap-Frr)*rm*2*5</f>
        <v>-67.2</v>
      </c>
      <c r="F15" s="9" t="n">
        <f aca="false">Min</f>
        <v>240</v>
      </c>
    </row>
    <row r="16" customFormat="false" ht="15" hidden="false" customHeight="false" outlineLevel="0" collapsed="false">
      <c r="A16" s="0" t="n">
        <v>0.6</v>
      </c>
      <c r="B16" s="10" t="n">
        <f aca="false">mu*(A16*Ap-Frr)*rm*2*2</f>
        <v>-26.88</v>
      </c>
      <c r="C16" s="10" t="n">
        <f aca="false">mu*(A16*Ap-Frr)*rm*2*3</f>
        <v>-40.32</v>
      </c>
      <c r="D16" s="10" t="n">
        <f aca="false">mu*(A16*Ap-Frr)*rm*2*4</f>
        <v>-53.76</v>
      </c>
      <c r="E16" s="10" t="n">
        <f aca="false">mu*(A16*Ap-Frr)*rm*2*5</f>
        <v>-67.2</v>
      </c>
      <c r="F16" s="9" t="n">
        <f aca="false">Min</f>
        <v>240</v>
      </c>
    </row>
    <row r="17" customFormat="false" ht="15" hidden="false" customHeight="false" outlineLevel="0" collapsed="false">
      <c r="A17" s="0" t="n">
        <v>0.8</v>
      </c>
      <c r="B17" s="10" t="n">
        <f aca="false">mu*(A17*Ap-Frr)*rm*2*2</f>
        <v>-26.88</v>
      </c>
      <c r="C17" s="10" t="n">
        <f aca="false">mu*(A17*Ap-Frr)*rm*2*3</f>
        <v>-40.32</v>
      </c>
      <c r="D17" s="10" t="n">
        <f aca="false">mu*(A17*Ap-Frr)*rm*2*4</f>
        <v>-53.76</v>
      </c>
      <c r="E17" s="10" t="n">
        <f aca="false">mu*(A17*Ap-Frr)*rm*2*5</f>
        <v>-67.2</v>
      </c>
      <c r="F17" s="9" t="n">
        <f aca="false">Min</f>
        <v>240</v>
      </c>
    </row>
    <row r="18" customFormat="false" ht="15" hidden="false" customHeight="false" outlineLevel="0" collapsed="false">
      <c r="A18" s="0" t="n">
        <v>1</v>
      </c>
      <c r="B18" s="10" t="n">
        <f aca="false">mu*(A18*Ap-Frr)*rm*2*2</f>
        <v>-26.88</v>
      </c>
      <c r="C18" s="10" t="n">
        <f aca="false">mu*(A18*Ap-Frr)*rm*2*3</f>
        <v>-40.32</v>
      </c>
      <c r="D18" s="10" t="n">
        <f aca="false">mu*(A18*Ap-Frr)*rm*2*4</f>
        <v>-53.76</v>
      </c>
      <c r="E18" s="10" t="n">
        <f aca="false">mu*(A18*Ap-Frr)*rm*2*5</f>
        <v>-67.2</v>
      </c>
      <c r="F18" s="9" t="n">
        <f aca="false">Min</f>
        <v>240</v>
      </c>
    </row>
    <row r="19" customFormat="false" ht="15" hidden="false" customHeight="false" outlineLevel="0" collapsed="false">
      <c r="A19" s="0" t="n">
        <v>1.2</v>
      </c>
      <c r="B19" s="10" t="n">
        <f aca="false">mu*(A19*Ap-Frr)*rm*2*2</f>
        <v>-26.88</v>
      </c>
      <c r="C19" s="10" t="n">
        <f aca="false">mu*(A19*Ap-Frr)*rm*2*3</f>
        <v>-40.32</v>
      </c>
      <c r="D19" s="10" t="n">
        <f aca="false">mu*(A19*Ap-Frr)*rm*2*4</f>
        <v>-53.76</v>
      </c>
      <c r="E19" s="10" t="n">
        <f aca="false">mu*(A19*Ap-Frr)*rm*2*5</f>
        <v>-67.2</v>
      </c>
      <c r="F19" s="9" t="n">
        <f aca="false">Min</f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94</v>
      </c>
    </row>
    <row r="3" customFormat="false" ht="15" hidden="false" customHeight="false" outlineLevel="0" collapsed="false">
      <c r="A3" s="8" t="s">
        <v>68</v>
      </c>
    </row>
    <row r="4" customFormat="false" ht="15" hidden="false" customHeight="false" outlineLevel="0" collapsed="false">
      <c r="A4" s="0" t="s">
        <v>95</v>
      </c>
      <c r="B4" s="0" t="s">
        <v>96</v>
      </c>
      <c r="C4" s="9" t="n">
        <f aca="false">(hmin+hmax)/2</f>
        <v>1.4</v>
      </c>
      <c r="D4" s="7" t="s">
        <v>21</v>
      </c>
      <c r="E4" s="7" t="s">
        <v>97</v>
      </c>
    </row>
    <row r="5" customFormat="false" ht="15" hidden="false" customHeight="false" outlineLevel="0" collapsed="false">
      <c r="A5" s="0" t="s">
        <v>98</v>
      </c>
      <c r="B5" s="0" t="s">
        <v>39</v>
      </c>
      <c r="C5" s="9" t="str">
        <f aca="false">IF(hmed&gt;hmax,"EXCESIVA: patina",IF(hmed&lt;hmin,"INSUFICIENTE: arrastra","CORRECTA"))</f>
        <v>EXCESIVA: patina</v>
      </c>
      <c r="D5" s="7" t="s">
        <v>39</v>
      </c>
    </row>
    <row r="6" customFormat="false" ht="15" hidden="false" customHeight="false" outlineLevel="0" collapsed="false">
      <c r="A6" s="0" t="s">
        <v>99</v>
      </c>
      <c r="B6" s="0" t="s">
        <v>100</v>
      </c>
      <c r="C6" s="9" t="n">
        <f aca="false">eact+(hmed-hesp)</f>
        <v>3.1</v>
      </c>
      <c r="D6" s="7" t="s">
        <v>21</v>
      </c>
      <c r="E6" s="7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102</v>
      </c>
    </row>
    <row r="3" customFormat="false" ht="15" hidden="false" customHeight="false" outlineLevel="0" collapsed="false">
      <c r="A3" s="8" t="s">
        <v>68</v>
      </c>
    </row>
    <row r="4" customFormat="false" ht="15" hidden="false" customHeight="false" outlineLevel="0" collapsed="false">
      <c r="A4" s="0" t="s">
        <v>103</v>
      </c>
      <c r="B4" s="0" t="s">
        <v>104</v>
      </c>
      <c r="C4" s="9" t="n">
        <f aca="false">Z2/Z1</f>
        <v>1.04651162790698</v>
      </c>
      <c r="D4" s="7" t="s">
        <v>39</v>
      </c>
      <c r="E4" s="7" t="s">
        <v>105</v>
      </c>
    </row>
    <row r="5" customFormat="false" ht="15" hidden="false" customHeight="false" outlineLevel="0" collapsed="false">
      <c r="A5" s="0" t="s">
        <v>106</v>
      </c>
      <c r="B5" s="0" t="s">
        <v>107</v>
      </c>
      <c r="C5" s="9" t="n">
        <f aca="false">Zc/Zp</f>
        <v>3.47368421052632</v>
      </c>
      <c r="D5" s="7" t="s">
        <v>39</v>
      </c>
      <c r="E5" s="7" t="s">
        <v>105</v>
      </c>
    </row>
    <row r="6" customFormat="false" ht="15" hidden="false" customHeight="false" outlineLevel="0" collapsed="false">
      <c r="A6" s="0" t="s">
        <v>108</v>
      </c>
      <c r="B6" s="0" t="s">
        <v>109</v>
      </c>
      <c r="C6" s="9" t="n">
        <f aca="false">itr*ifd</f>
        <v>3.63525091799266</v>
      </c>
      <c r="D6" s="7" t="s">
        <v>39</v>
      </c>
      <c r="E6" s="7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2026-09-16T05:41:57Z</dcterms:created>
  <dc:creator>openpyxl</dc:creator>
  <dc:description/>
  <dc:language>en-US</dc:language>
  <cp:lastModifiedBy/>
  <dcterms:modified xsi:type="dcterms:W3CDTF">2026-09-16T05:41:58Z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