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tto" sheetId="1" state="visible" r:id="rId3"/>
    <sheet name="Puntos" sheetId="2" state="visible" r:id="rId4"/>
    <sheet name="Graficas" sheetId="3" state="visible" r:id="rId5"/>
    <sheet name="Angulo" sheetId="4" state="visible" r:id="rId6"/>
    <sheet name="Parametric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<sst xmlns="http://schemas.openxmlformats.org/spreadsheetml/2006/main" count="430" uniqueCount="136">
  <si>
    <t xml:space="preserve">GUÍA 6 – CICLO OTTO IDEAL: DIAGRAMAS P–v, P–V, T–s Y P–θ</t>
  </si>
  <si>
    <t xml:space="preserve">η = 1 − 1/r^(γ−1)</t>
  </si>
  <si>
    <t xml:space="preserve">Leyenda: celdas amarillas con texto azul = datos de entrada (editar). Texto negro = fórmulas (no editar).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</si>
  <si>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</si>
  <si>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</si>
  <si>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</si>
  <si>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</si>
  <si>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</si>
  <si>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Presión inicial (Loja)</t>
  </si>
  <si>
    <t xml:space="preserve">P1</t>
  </si>
  <si>
    <t xml:space="preserve">kPa</t>
  </si>
  <si>
    <t xml:space="preserve">Temperatura inicial</t>
  </si>
  <si>
    <t xml:space="preserve">T1</t>
  </si>
  <si>
    <t xml:space="preserve">K</t>
  </si>
  <si>
    <t xml:space="preserve">Relación de compresión</t>
  </si>
  <si>
    <t xml:space="preserve">r</t>
  </si>
  <si>
    <t xml:space="preserve">—</t>
  </si>
  <si>
    <t xml:space="preserve">Calor aportado q_ent</t>
  </si>
  <si>
    <t xml:space="preserve">q</t>
  </si>
  <si>
    <t xml:space="preserve">kJ/kg</t>
  </si>
  <si>
    <t xml:space="preserve">Relación de calores específicos γ</t>
  </si>
  <si>
    <t xml:space="preserve">g</t>
  </si>
  <si>
    <t xml:space="preserve">Calor específico a v cte</t>
  </si>
  <si>
    <t xml:space="preserve">cv</t>
  </si>
  <si>
    <t xml:space="preserve">kJ/(kg·K)</t>
  </si>
  <si>
    <t xml:space="preserve">Calor específico a P cte</t>
  </si>
  <si>
    <t xml:space="preserve">cp</t>
  </si>
  <si>
    <t xml:space="preserve">Constante del aire</t>
  </si>
  <si>
    <t xml:space="preserve">R</t>
  </si>
  <si>
    <t xml:space="preserve">Diámetro del cilindro</t>
  </si>
  <si>
    <t xml:space="preserve">D</t>
  </si>
  <si>
    <t xml:space="preserve">cm</t>
  </si>
  <si>
    <t xml:space="preserve">Carrera</t>
  </si>
  <si>
    <t xml:space="preserve">S</t>
  </si>
  <si>
    <t xml:space="preserve">Número de cilindros</t>
  </si>
  <si>
    <t xml:space="preserve">Z</t>
  </si>
  <si>
    <t xml:space="preserve">Longitud de la biela</t>
  </si>
  <si>
    <t xml:space="preserve">Lb</t>
  </si>
  <si>
    <t xml:space="preserve">Régimen de giro</t>
  </si>
  <si>
    <t xml:space="preserve">n</t>
  </si>
  <si>
    <t xml:space="preserve">rpm</t>
  </si>
  <si>
    <t xml:space="preserve">Geometría (ecuaciones de la guía original) y masa de aire</t>
  </si>
  <si>
    <t xml:space="preserve">Magnitud</t>
  </si>
  <si>
    <t xml:space="preserve">Ecuación</t>
  </si>
  <si>
    <t xml:space="preserve">Área del pistón</t>
  </si>
  <si>
    <t xml:space="preserve">A_P = π·D²/4</t>
  </si>
  <si>
    <t xml:space="preserve">cm²</t>
  </si>
  <si>
    <t xml:space="preserve">Volumen del cilindro</t>
  </si>
  <si>
    <t xml:space="preserve">V_C = A_P·S</t>
  </si>
  <si>
    <t xml:space="preserve">cm³</t>
  </si>
  <si>
    <t xml:space="preserve">Volumen de la cámara</t>
  </si>
  <si>
    <t xml:space="preserve">V_CC = V_C/(r − 1)</t>
  </si>
  <si>
    <t xml:space="preserve">Volumen unitario</t>
  </si>
  <si>
    <t xml:space="preserve">V_u = V_C + V_CC</t>
  </si>
  <si>
    <t xml:space="preserve">Relación biela–manivela</t>
  </si>
  <si>
    <t xml:space="preserve">λ = (S/2)/L</t>
  </si>
  <si>
    <t xml:space="preserve">Volumen específico en 1</t>
  </si>
  <si>
    <t xml:space="preserve">v1 = R·T1/P1</t>
  </si>
  <si>
    <t xml:space="preserve">m³/kg</t>
  </si>
  <si>
    <t xml:space="preserve">Masa de aire por cilindro</t>
  </si>
  <si>
    <t xml:space="preserve">m = V_u/v1</t>
  </si>
  <si>
    <t xml:space="preserve">kg</t>
  </si>
  <si>
    <t xml:space="preserve">Estados del ciclo (s referida al estado 1)</t>
  </si>
  <si>
    <t xml:space="preserve">Estado</t>
  </si>
  <si>
    <t xml:space="preserve">P (kPa)</t>
  </si>
  <si>
    <t xml:space="preserve">T (K)</t>
  </si>
  <si>
    <t xml:space="preserve">v (m³/kg)</t>
  </si>
  <si>
    <t xml:space="preserve">s (kJ/kg·K)</t>
  </si>
  <si>
    <t xml:space="preserve">V (cm³)</t>
  </si>
  <si>
    <t xml:space="preserve">Balance por proceso (por unidad de masa): Q − W = ΔU</t>
  </si>
  <si>
    <t xml:space="preserve">Proceso</t>
  </si>
  <si>
    <t xml:space="preserve">Tipo</t>
  </si>
  <si>
    <t xml:space="preserve">Q (kJ/kg)</t>
  </si>
  <si>
    <t xml:space="preserve">W (kJ/kg)</t>
  </si>
  <si>
    <t xml:space="preserve">ΔU (kJ/kg)</t>
  </si>
  <si>
    <t xml:space="preserve">Δs (kJ/kg·K)</t>
  </si>
  <si>
    <t xml:space="preserve">Q − W − ΔU</t>
  </si>
  <si>
    <t xml:space="preserve">1→2</t>
  </si>
  <si>
    <t xml:space="preserve">Compresión adiabática</t>
  </si>
  <si>
    <t xml:space="preserve">2→3</t>
  </si>
  <si>
    <t xml:space="preserve">Aporte de calor a v cte</t>
  </si>
  <si>
    <t xml:space="preserve">3→4</t>
  </si>
  <si>
    <t xml:space="preserve">Expansión adiabática</t>
  </si>
  <si>
    <t xml:space="preserve">4→1</t>
  </si>
  <si>
    <t xml:space="preserve">Cesión de calor a v cte</t>
  </si>
  <si>
    <t xml:space="preserve">Ciclo</t>
  </si>
  <si>
    <t xml:space="preserve">Convención: Q &gt; 0 recibido por el gas; W &gt; 0 realizado por el gas. En el ciclo ΔU = 0 y Δs = 0 (pequeñas diferencias se deben a redondeos de c_p y c_v).</t>
  </si>
  <si>
    <t xml:space="preserve">Resultados del ciclo</t>
  </si>
  <si>
    <t xml:space="preserve">Calor aportado</t>
  </si>
  <si>
    <t xml:space="preserve">q_ent</t>
  </si>
  <si>
    <t xml:space="preserve">Calor cedido</t>
  </si>
  <si>
    <t xml:space="preserve">q_sal</t>
  </si>
  <si>
    <t xml:space="preserve">Trabajo neto</t>
  </si>
  <si>
    <t xml:space="preserve">w = Σ W</t>
  </si>
  <si>
    <t xml:space="preserve">Eficiencia térmica (balance)</t>
  </si>
  <si>
    <t xml:space="preserve">η = w/q_ent</t>
  </si>
  <si>
    <t xml:space="preserve">%</t>
  </si>
  <si>
    <t xml:space="preserve">Eficiencia (fórmula)</t>
  </si>
  <si>
    <t xml:space="preserve">Eficiencia de Carnot entre T máx y T mín</t>
  </si>
  <si>
    <t xml:space="preserve">η_C = 1 − T_mín/T_máx</t>
  </si>
  <si>
    <t xml:space="preserve">Temperatura media de aporte de calor</t>
  </si>
  <si>
    <t xml:space="preserve">T_m = q_ent/Δs_ent</t>
  </si>
  <si>
    <t xml:space="preserve">Presión media efectiva</t>
  </si>
  <si>
    <t xml:space="preserve">PME = w/(v_máx − v_mín)</t>
  </si>
  <si>
    <t xml:space="preserve">Presión máxima</t>
  </si>
  <si>
    <t xml:space="preserve">P_máx</t>
  </si>
  <si>
    <t xml:space="preserve">Temperatura máxima</t>
  </si>
  <si>
    <t xml:space="preserve">T_máx</t>
  </si>
  <si>
    <t xml:space="preserve">Trabajo por ciclo (un cilindro)</t>
  </si>
  <si>
    <t xml:space="preserve">W_ciclo = w·m</t>
  </si>
  <si>
    <t xml:space="preserve">J</t>
  </si>
  <si>
    <t xml:space="preserve">Calor aportado por ciclo</t>
  </si>
  <si>
    <t xml:space="preserve">Q_ciclo = q_ent·m</t>
  </si>
  <si>
    <t xml:space="preserve">Potencia teórica indicada</t>
  </si>
  <si>
    <t xml:space="preserve">P = W_ciclo·Z·n/120</t>
  </si>
  <si>
    <t xml:space="preserve">kW</t>
  </si>
  <si>
    <t xml:space="preserve">Relación de trabajo de retroceso</t>
  </si>
  <si>
    <t xml:space="preserve">bwr = |W_comp|/W_exp</t>
  </si>
  <si>
    <t xml:space="preserve">Puntos de los diagramas (20 por proceso)</t>
  </si>
  <si>
    <t xml:space="preserve">Columnas: proceso, fracción, v, T, P, s, V</t>
  </si>
  <si>
    <t xml:space="preserve">t</t>
  </si>
  <si>
    <t xml:space="preserve">Presión y temperatura en función del ángulo del cigüeñal (ciclo ideal de 720°)</t>
  </si>
  <si>
    <t xml:space="preserve">V(θ) = V_CC + (V_C/2)·[(1 − cos θ) + (1/λ)(1 − √(1 − λ²·sen²θ))]</t>
  </si>
  <si>
    <t xml:space="preserve">θ (°)</t>
  </si>
  <si>
    <t xml:space="preserve">Tiempo</t>
  </si>
  <si>
    <t xml:space="preserve">Ciclo ideal: la combustión ocurre en el PMS (360°) y el escape baja la presión a P1 en el PMI (540°). En admisión y escape se asigna T = T1 (el modelo ideal no describe la renovación de la carga).</t>
  </si>
  <si>
    <t xml:space="preserve">Admisión</t>
  </si>
  <si>
    <t xml:space="preserve">Compresión</t>
  </si>
  <si>
    <t xml:space="preserve">Expansión</t>
  </si>
  <si>
    <t xml:space="preserve">Escape</t>
  </si>
  <si>
    <t xml:space="preserve">Influencia de la relación de compresión</t>
  </si>
  <si>
    <t xml:space="preserve">Demás datos de la hoja Otto</t>
  </si>
  <si>
    <t xml:space="preserve">η (%)</t>
  </si>
  <si>
    <t xml:space="preserve">T2 (K)</t>
  </si>
  <si>
    <t xml:space="preserve">P3 (kPa)</t>
  </si>
  <si>
    <t xml:space="preserve">PME (kPa)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</si>
</sst>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00"/>
    <numFmt numFmtId="167" formatCode="0.000000"/>
    <numFmt numFmtId="168" formatCode="0.00"/>
    <numFmt numFmtId="169" formatCode="0.00000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F559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1.03888477974684</c:v>
                </c:pt>
                <c:pt idx="2">
                  <c:v>0.987897110548523</c:v>
                </c:pt>
                <c:pt idx="3">
                  <c:v>0.93690847257384</c:v>
                </c:pt>
                <c:pt idx="4">
                  <c:v>0.885920803375528</c:v>
                </c:pt>
                <c:pt idx="5">
                  <c:v>0.834932165400844</c:v>
                </c:pt>
                <c:pt idx="6">
                  <c:v>0.783944496202532</c:v>
                </c:pt>
                <c:pt idx="7">
                  <c:v>0.732955858227848</c:v>
                </c:pt>
                <c:pt idx="8">
                  <c:v>0.681967220253165</c:v>
                </c:pt>
                <c:pt idx="9">
                  <c:v>0.630979551054852</c:v>
                </c:pt>
                <c:pt idx="10">
                  <c:v>0.579990913080169</c:v>
                </c:pt>
                <c:pt idx="11">
                  <c:v>0.529003243881857</c:v>
                </c:pt>
                <c:pt idx="12">
                  <c:v>0.478014605907173</c:v>
                </c:pt>
                <c:pt idx="13">
                  <c:v>0.42702596793249</c:v>
                </c:pt>
                <c:pt idx="14">
                  <c:v>0.376038298734177</c:v>
                </c:pt>
                <c:pt idx="15">
                  <c:v>0.325049660759494</c:v>
                </c:pt>
                <c:pt idx="16">
                  <c:v>0.274061991561182</c:v>
                </c:pt>
                <c:pt idx="17">
                  <c:v>0.223073353586498</c:v>
                </c:pt>
                <c:pt idx="18">
                  <c:v>0.172085684388186</c:v>
                </c:pt>
                <c:pt idx="19">
                  <c:v>0.121097046413502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79</c:v>
                </c:pt>
                <c:pt idx="1">
                  <c:v>84.4810374356964</c:v>
                </c:pt>
                <c:pt idx="2">
                  <c:v>90.6477803630046</c:v>
                </c:pt>
                <c:pt idx="3">
                  <c:v>97.6287081484087</c:v>
                </c:pt>
                <c:pt idx="4">
                  <c:v>105.584633199025</c:v>
                </c:pt>
                <c:pt idx="5">
                  <c:v>114.720731139298</c:v>
                </c:pt>
                <c:pt idx="6">
                  <c:v>125.30088369833</c:v>
                </c:pt>
                <c:pt idx="7">
                  <c:v>137.671684732622</c:v>
                </c:pt>
                <c:pt idx="8">
                  <c:v>152.294659866745</c:v>
                </c:pt>
                <c:pt idx="9">
                  <c:v>169.797846097247</c:v>
                </c:pt>
                <c:pt idx="10">
                  <c:v>191.057420690802</c:v>
                </c:pt>
                <c:pt idx="11">
                  <c:v>217.326109906033</c:v>
                </c:pt>
                <c:pt idx="12">
                  <c:v>250.458596129892</c:v>
                </c:pt>
                <c:pt idx="13">
                  <c:v>293.303722856596</c:v>
                </c:pt>
                <c:pt idx="14">
                  <c:v>350.452098324058</c:v>
                </c:pt>
                <c:pt idx="15">
                  <c:v>429.758001650512</c:v>
                </c:pt>
                <c:pt idx="16">
                  <c:v>545.714184609522</c:v>
                </c:pt>
                <c:pt idx="17">
                  <c:v>727.992324947002</c:v>
                </c:pt>
                <c:pt idx="18">
                  <c:v>1046.9138247458</c:v>
                </c:pt>
                <c:pt idx="19">
                  <c:v>1712.24775123457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0.121097046413502</c:v>
                </c:pt>
                <c:pt idx="1">
                  <c:v>0.121097046413502</c:v>
                </c:pt>
                <c:pt idx="2">
                  <c:v>0.121097046413502</c:v>
                </c:pt>
                <c:pt idx="3">
                  <c:v>0.121097046413502</c:v>
                </c:pt>
                <c:pt idx="4">
                  <c:v>0.121097046413502</c:v>
                </c:pt>
                <c:pt idx="5">
                  <c:v>0.121097046413502</c:v>
                </c:pt>
                <c:pt idx="6">
                  <c:v>0.121097046413502</c:v>
                </c:pt>
                <c:pt idx="7">
                  <c:v>0.121097046413502</c:v>
                </c:pt>
                <c:pt idx="8">
                  <c:v>0.121097046413502</c:v>
                </c:pt>
                <c:pt idx="9">
                  <c:v>0.121097046413502</c:v>
                </c:pt>
                <c:pt idx="10">
                  <c:v>0.121097046413502</c:v>
                </c:pt>
                <c:pt idx="11">
                  <c:v>0.121097046413502</c:v>
                </c:pt>
                <c:pt idx="12">
                  <c:v>0.121097046413502</c:v>
                </c:pt>
                <c:pt idx="13">
                  <c:v>0.121097046413502</c:v>
                </c:pt>
                <c:pt idx="14">
                  <c:v>0.121097046413502</c:v>
                </c:pt>
                <c:pt idx="15">
                  <c:v>0.121097046413502</c:v>
                </c:pt>
                <c:pt idx="16">
                  <c:v>0.121097046413502</c:v>
                </c:pt>
                <c:pt idx="17">
                  <c:v>0.121097046413502</c:v>
                </c:pt>
                <c:pt idx="18">
                  <c:v>0.121097046413502</c:v>
                </c:pt>
                <c:pt idx="19">
                  <c:v>0.121097046413502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1712.24775123457</c:v>
                </c:pt>
                <c:pt idx="1">
                  <c:v>2024.96099914544</c:v>
                </c:pt>
                <c:pt idx="2">
                  <c:v>2337.66830555212</c:v>
                </c:pt>
                <c:pt idx="3">
                  <c:v>2650.38155346298</c:v>
                </c:pt>
                <c:pt idx="4">
                  <c:v>2963.08885986967</c:v>
                </c:pt>
                <c:pt idx="5">
                  <c:v>3275.80210778053</c:v>
                </c:pt>
                <c:pt idx="6">
                  <c:v>3588.50941418722</c:v>
                </c:pt>
                <c:pt idx="7">
                  <c:v>3901.22266209808</c:v>
                </c:pt>
                <c:pt idx="8">
                  <c:v>4213.93591000895</c:v>
                </c:pt>
                <c:pt idx="9">
                  <c:v>4526.64321641563</c:v>
                </c:pt>
                <c:pt idx="10">
                  <c:v>4839.35646432649</c:v>
                </c:pt>
                <c:pt idx="11">
                  <c:v>5152.06377073318</c:v>
                </c:pt>
                <c:pt idx="12">
                  <c:v>5464.77701864404</c:v>
                </c:pt>
                <c:pt idx="13">
                  <c:v>5777.49026655491</c:v>
                </c:pt>
                <c:pt idx="14">
                  <c:v>6090.19757296159</c:v>
                </c:pt>
                <c:pt idx="15">
                  <c:v>6402.91082087246</c:v>
                </c:pt>
                <c:pt idx="16">
                  <c:v>6715.61812727914</c:v>
                </c:pt>
                <c:pt idx="17">
                  <c:v>7028.33137519</c:v>
                </c:pt>
                <c:pt idx="18">
                  <c:v>7341.03868159669</c:v>
                </c:pt>
                <c:pt idx="19">
                  <c:v>7653.75192950755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0.121097046413502</c:v>
                </c:pt>
                <c:pt idx="1">
                  <c:v>0.172085684388186</c:v>
                </c:pt>
                <c:pt idx="2">
                  <c:v>0.223073353586498</c:v>
                </c:pt>
                <c:pt idx="3">
                  <c:v>0.274061991561181</c:v>
                </c:pt>
                <c:pt idx="4">
                  <c:v>0.325049660759494</c:v>
                </c:pt>
                <c:pt idx="5">
                  <c:v>0.376038298734177</c:v>
                </c:pt>
                <c:pt idx="6">
                  <c:v>0.427025967932489</c:v>
                </c:pt>
                <c:pt idx="7">
                  <c:v>0.478014605907173</c:v>
                </c:pt>
                <c:pt idx="8">
                  <c:v>0.529003243881857</c:v>
                </c:pt>
                <c:pt idx="9">
                  <c:v>0.579990913080169</c:v>
                </c:pt>
                <c:pt idx="10">
                  <c:v>0.630979551054852</c:v>
                </c:pt>
                <c:pt idx="11">
                  <c:v>0.681967220253165</c:v>
                </c:pt>
                <c:pt idx="12">
                  <c:v>0.732955858227848</c:v>
                </c:pt>
                <c:pt idx="13">
                  <c:v>0.783944496202532</c:v>
                </c:pt>
                <c:pt idx="14">
                  <c:v>0.834932165400844</c:v>
                </c:pt>
                <c:pt idx="15">
                  <c:v>0.885920803375528</c:v>
                </c:pt>
                <c:pt idx="16">
                  <c:v>0.93690847257384</c:v>
                </c:pt>
                <c:pt idx="17">
                  <c:v>0.987897110548523</c:v>
                </c:pt>
                <c:pt idx="18">
                  <c:v>1.03888477974684</c:v>
                </c:pt>
                <c:pt idx="19">
                  <c:v>1.08987341772152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7653.75192950755</c:v>
                </c:pt>
                <c:pt idx="1">
                  <c:v>4679.70753671534</c:v>
                </c:pt>
                <c:pt idx="2">
                  <c:v>3254.12759789718</c:v>
                </c:pt>
                <c:pt idx="3">
                  <c:v>2439.34383350963</c:v>
                </c:pt>
                <c:pt idx="4">
                  <c:v>1921.01939218918</c:v>
                </c:pt>
                <c:pt idx="5">
                  <c:v>1566.52179675152</c:v>
                </c:pt>
                <c:pt idx="6">
                  <c:v>1311.06840883675</c:v>
                </c:pt>
                <c:pt idx="7">
                  <c:v>1119.55058022926</c:v>
                </c:pt>
                <c:pt idx="8">
                  <c:v>971.448280090513</c:v>
                </c:pt>
                <c:pt idx="9">
                  <c:v>854.027170545036</c:v>
                </c:pt>
                <c:pt idx="10">
                  <c:v>758.996816468875</c:v>
                </c:pt>
                <c:pt idx="11">
                  <c:v>680.757528207208</c:v>
                </c:pt>
                <c:pt idx="12">
                  <c:v>615.392791084766</c:v>
                </c:pt>
                <c:pt idx="13">
                  <c:v>560.095278083218</c:v>
                </c:pt>
                <c:pt idx="14">
                  <c:v>512.801968452773</c:v>
                </c:pt>
                <c:pt idx="15">
                  <c:v>471.963586747718</c:v>
                </c:pt>
                <c:pt idx="16">
                  <c:v>436.400580948315</c:v>
                </c:pt>
                <c:pt idx="17">
                  <c:v>405.195815476283</c:v>
                </c:pt>
                <c:pt idx="18">
                  <c:v>377.630458450916</c:v>
                </c:pt>
                <c:pt idx="19">
                  <c:v>353.13020676776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1.08987341772152</c:v>
                </c:pt>
                <c:pt idx="2">
                  <c:v>1.08987341772152</c:v>
                </c:pt>
                <c:pt idx="3">
                  <c:v>1.08987341772152</c:v>
                </c:pt>
                <c:pt idx="4">
                  <c:v>1.08987341772152</c:v>
                </c:pt>
                <c:pt idx="5">
                  <c:v>1.08987341772152</c:v>
                </c:pt>
                <c:pt idx="6">
                  <c:v>1.08987341772152</c:v>
                </c:pt>
                <c:pt idx="7">
                  <c:v>1.08987341772152</c:v>
                </c:pt>
                <c:pt idx="8">
                  <c:v>1.08987341772152</c:v>
                </c:pt>
                <c:pt idx="9">
                  <c:v>1.08987341772152</c:v>
                </c:pt>
                <c:pt idx="10">
                  <c:v>1.08987341772152</c:v>
                </c:pt>
                <c:pt idx="11">
                  <c:v>1.08987341772152</c:v>
                </c:pt>
                <c:pt idx="12">
                  <c:v>1.08987341772152</c:v>
                </c:pt>
                <c:pt idx="13">
                  <c:v>1.08987341772152</c:v>
                </c:pt>
                <c:pt idx="14">
                  <c:v>1.08987341772152</c:v>
                </c:pt>
                <c:pt idx="15">
                  <c:v>1.08987341772152</c:v>
                </c:pt>
                <c:pt idx="16">
                  <c:v>1.08987341772152</c:v>
                </c:pt>
                <c:pt idx="17">
                  <c:v>1.08987341772152</c:v>
                </c:pt>
                <c:pt idx="18">
                  <c:v>1.08987341772152</c:v>
                </c:pt>
                <c:pt idx="19">
                  <c:v>1.08987341772152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353.13020676776</c:v>
                </c:pt>
                <c:pt idx="1">
                  <c:v>338.702185725159</c:v>
                </c:pt>
                <c:pt idx="2">
                  <c:v>324.274438812765</c:v>
                </c:pt>
                <c:pt idx="3">
                  <c:v>309.846417770165</c:v>
                </c:pt>
                <c:pt idx="4">
                  <c:v>295.418670857771</c:v>
                </c:pt>
                <c:pt idx="5">
                  <c:v>280.99064981517</c:v>
                </c:pt>
                <c:pt idx="6">
                  <c:v>266.562902902776</c:v>
                </c:pt>
                <c:pt idx="7">
                  <c:v>252.134881860175</c:v>
                </c:pt>
                <c:pt idx="8">
                  <c:v>237.706860817574</c:v>
                </c:pt>
                <c:pt idx="9">
                  <c:v>223.27911390518</c:v>
                </c:pt>
                <c:pt idx="10">
                  <c:v>208.85109286258</c:v>
                </c:pt>
                <c:pt idx="11">
                  <c:v>194.423345950186</c:v>
                </c:pt>
                <c:pt idx="12">
                  <c:v>179.995324907585</c:v>
                </c:pt>
                <c:pt idx="13">
                  <c:v>165.567303864984</c:v>
                </c:pt>
                <c:pt idx="14">
                  <c:v>151.13955695259</c:v>
                </c:pt>
                <c:pt idx="15">
                  <c:v>136.711535909989</c:v>
                </c:pt>
                <c:pt idx="16">
                  <c:v>122.283788997595</c:v>
                </c:pt>
                <c:pt idx="17">
                  <c:v>107.855767954995</c:v>
                </c:pt>
                <c:pt idx="18">
                  <c:v>93.4280210426008</c:v>
                </c:pt>
                <c:pt idx="19">
                  <c:v>79</c:v>
                </c:pt>
              </c:numCache>
            </c:numRef>
          </c:yVal>
          <c:smooth val="1"/>
        </c:ser>
        <c:axId val="8805557"/>
        <c:axId val="92444824"/>
      </c:scatterChart>
      <c:valAx>
        <c:axId val="88055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44824"/>
        <c:crosses val="autoZero"/>
        <c:crossBetween val="midCat"/>
      </c:valAx>
      <c:valAx>
        <c:axId val="92444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555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Puntos!$F$5:$F$24</c:f>
              <c:numCache>
                <c:formatCode>0.00000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Puntos!$D$5:$D$24</c:f>
              <c:numCache>
                <c:formatCode>0.00</c:formatCode>
                <c:ptCount val="20"/>
                <c:pt idx="0">
                  <c:v>300</c:v>
                </c:pt>
                <c:pt idx="1">
                  <c:v>305.805100937866</c:v>
                </c:pt>
                <c:pt idx="2">
                  <c:v>312.023276300521</c:v>
                </c:pt>
                <c:pt idx="3">
                  <c:v>318.707887911787</c:v>
                </c:pt>
                <c:pt idx="4">
                  <c:v>325.922031595089</c:v>
                </c:pt>
                <c:pt idx="5">
                  <c:v>333.742259465165</c:v>
                </c:pt>
                <c:pt idx="6">
                  <c:v>342.261108517837</c:v>
                </c:pt>
                <c:pt idx="7">
                  <c:v>351.593267724294</c:v>
                </c:pt>
                <c:pt idx="8">
                  <c:v>361.881414107057</c:v>
                </c:pt>
                <c:pt idx="9">
                  <c:v>373.306511151644</c:v>
                </c:pt>
                <c:pt idx="10">
                  <c:v>386.10302396237</c:v>
                </c:pt>
                <c:pt idx="11">
                  <c:v>400.579153730023</c:v>
                </c:pt>
                <c:pt idx="12">
                  <c:v>417.152847125763</c:v>
                </c:pt>
                <c:pt idx="13">
                  <c:v>436.405247913033</c:v>
                </c:pt>
                <c:pt idx="14">
                  <c:v>459.175647531713</c:v>
                </c:pt>
                <c:pt idx="15">
                  <c:v>486.734120714902</c:v>
                </c:pt>
                <c:pt idx="16">
                  <c:v>521.113297063665</c:v>
                </c:pt>
                <c:pt idx="17">
                  <c:v>565.838638714841</c:v>
                </c:pt>
                <c:pt idx="18">
                  <c:v>627.731296260747</c:v>
                </c:pt>
                <c:pt idx="19">
                  <c:v>722.467405584207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Puntos!$F$25:$F$44</c:f>
              <c:numCache>
                <c:formatCode>0.00000</c:formatCode>
                <c:ptCount val="20"/>
                <c:pt idx="0">
                  <c:v>0</c:v>
                </c:pt>
                <c:pt idx="1">
                  <c:v>0.120439803516173</c:v>
                </c:pt>
                <c:pt idx="2">
                  <c:v>0.223547146149564</c:v>
                </c:pt>
                <c:pt idx="3">
                  <c:v>0.313691780567552</c:v>
                </c:pt>
                <c:pt idx="4">
                  <c:v>0.393769348324015</c:v>
                </c:pt>
                <c:pt idx="5">
                  <c:v>0.465806646988699</c:v>
                </c:pt>
                <c:pt idx="6">
                  <c:v>0.531269689425065</c:v>
                </c:pt>
                <c:pt idx="7">
                  <c:v>0.591260812201481</c:v>
                </c:pt>
                <c:pt idx="8">
                  <c:v>0.646623709523942</c:v>
                </c:pt>
                <c:pt idx="9">
                  <c:v>0.698020695939982</c:v>
                </c:pt>
                <c:pt idx="10">
                  <c:v>0.745983883579602</c:v>
                </c:pt>
                <c:pt idx="11">
                  <c:v>0.790941896307622</c:v>
                </c:pt>
                <c:pt idx="12">
                  <c:v>0.833250730201878</c:v>
                </c:pt>
                <c:pt idx="13">
                  <c:v>0.873204600826051</c:v>
                </c:pt>
                <c:pt idx="14">
                  <c:v>0.911051202893212</c:v>
                </c:pt>
                <c:pt idx="15">
                  <c:v>0.947003027659345</c:v>
                </c:pt>
                <c:pt idx="16">
                  <c:v>0.981239547112624</c:v>
                </c:pt>
                <c:pt idx="17">
                  <c:v>1.01391819880442</c:v>
                </c:pt>
                <c:pt idx="18">
                  <c:v>1.04517347292056</c:v>
                </c:pt>
                <c:pt idx="19">
                  <c:v>1.0751252978026</c:v>
                </c:pt>
              </c:numCache>
            </c:numRef>
          </c:xVal>
          <c:yVal>
            <c:numRef>
              <c:f>Puntos!$D$25:$D$44</c:f>
              <c:numCache>
                <c:formatCode>0.00</c:formatCode>
                <c:ptCount val="20"/>
                <c:pt idx="0">
                  <c:v>722.467405584207</c:v>
                </c:pt>
                <c:pt idx="1">
                  <c:v>854.413923690057</c:v>
                </c:pt>
                <c:pt idx="2">
                  <c:v>986.357934832118</c:v>
                </c:pt>
                <c:pt idx="3">
                  <c:v>1118.30445293797</c:v>
                </c:pt>
                <c:pt idx="4">
                  <c:v>1250.24846408003</c:v>
                </c:pt>
                <c:pt idx="5">
                  <c:v>1382.19498218588</c:v>
                </c:pt>
                <c:pt idx="6">
                  <c:v>1514.13899332794</c:v>
                </c:pt>
                <c:pt idx="7">
                  <c:v>1646.08551143379</c:v>
                </c:pt>
                <c:pt idx="8">
                  <c:v>1778.03202953964</c:v>
                </c:pt>
                <c:pt idx="9">
                  <c:v>1909.9760406817</c:v>
                </c:pt>
                <c:pt idx="10">
                  <c:v>2041.92255878755</c:v>
                </c:pt>
                <c:pt idx="11">
                  <c:v>2173.86656992961</c:v>
                </c:pt>
                <c:pt idx="12">
                  <c:v>2305.81308803546</c:v>
                </c:pt>
                <c:pt idx="13">
                  <c:v>2437.75960614131</c:v>
                </c:pt>
                <c:pt idx="14">
                  <c:v>2569.70361728337</c:v>
                </c:pt>
                <c:pt idx="15">
                  <c:v>2701.65013538922</c:v>
                </c:pt>
                <c:pt idx="16">
                  <c:v>2833.59414653128</c:v>
                </c:pt>
                <c:pt idx="17">
                  <c:v>2965.54066463713</c:v>
                </c:pt>
                <c:pt idx="18">
                  <c:v>3097.48467577919</c:v>
                </c:pt>
                <c:pt idx="19">
                  <c:v>3229.43119388504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Puntos!$F$45:$F$64</c:f>
              <c:numCache>
                <c:formatCode>0.00000</c:formatCode>
                <c:ptCount val="20"/>
                <c:pt idx="0">
                  <c:v>1.0751252978026</c:v>
                </c:pt>
                <c:pt idx="1">
                  <c:v>1.0751252978026</c:v>
                </c:pt>
                <c:pt idx="2">
                  <c:v>1.0751252978026</c:v>
                </c:pt>
                <c:pt idx="3">
                  <c:v>1.0751252978026</c:v>
                </c:pt>
                <c:pt idx="4">
                  <c:v>1.0751252978026</c:v>
                </c:pt>
                <c:pt idx="5">
                  <c:v>1.0751252978026</c:v>
                </c:pt>
                <c:pt idx="6">
                  <c:v>1.0751252978026</c:v>
                </c:pt>
                <c:pt idx="7">
                  <c:v>1.0751252978026</c:v>
                </c:pt>
                <c:pt idx="8">
                  <c:v>1.0751252978026</c:v>
                </c:pt>
                <c:pt idx="9">
                  <c:v>1.0751252978026</c:v>
                </c:pt>
                <c:pt idx="10">
                  <c:v>1.0751252978026</c:v>
                </c:pt>
                <c:pt idx="11">
                  <c:v>1.0751252978026</c:v>
                </c:pt>
                <c:pt idx="12">
                  <c:v>1.0751252978026</c:v>
                </c:pt>
                <c:pt idx="13">
                  <c:v>1.0751252978026</c:v>
                </c:pt>
                <c:pt idx="14">
                  <c:v>1.0751252978026</c:v>
                </c:pt>
                <c:pt idx="15">
                  <c:v>1.0751252978026</c:v>
                </c:pt>
                <c:pt idx="16">
                  <c:v>1.0751252978026</c:v>
                </c:pt>
                <c:pt idx="17">
                  <c:v>1.0751252978026</c:v>
                </c:pt>
                <c:pt idx="18">
                  <c:v>1.0751252978026</c:v>
                </c:pt>
                <c:pt idx="19">
                  <c:v>1.0751252978026</c:v>
                </c:pt>
              </c:numCache>
            </c:numRef>
          </c:xVal>
          <c:yVal>
            <c:numRef>
              <c:f>Puntos!$D$45:$D$64</c:f>
              <c:numCache>
                <c:formatCode>0.00</c:formatCode>
                <c:ptCount val="20"/>
                <c:pt idx="0">
                  <c:v>3229.43119388504</c:v>
                </c:pt>
                <c:pt idx="1">
                  <c:v>2805.96053725509</c:v>
                </c:pt>
                <c:pt idx="2">
                  <c:v>2529.3001960324</c:v>
                </c:pt>
                <c:pt idx="3">
                  <c:v>2329.37780179141</c:v>
                </c:pt>
                <c:pt idx="4">
                  <c:v>2175.70279353136</c:v>
                </c:pt>
                <c:pt idx="5">
                  <c:v>2052.51634627334</c:v>
                </c:pt>
                <c:pt idx="6">
                  <c:v>1950.73260038057</c:v>
                </c:pt>
                <c:pt idx="7">
                  <c:v>1864.67431847191</c:v>
                </c:pt>
                <c:pt idx="8">
                  <c:v>1790.5898656144</c:v>
                </c:pt>
                <c:pt idx="9">
                  <c:v>1725.88152766442</c:v>
                </c:pt>
                <c:pt idx="10">
                  <c:v>1668.68108190799</c:v>
                </c:pt>
                <c:pt idx="11">
                  <c:v>1617.61086821563</c:v>
                </c:pt>
                <c:pt idx="12">
                  <c:v>1571.62282695737</c:v>
                </c:pt>
                <c:pt idx="13">
                  <c:v>1529.90805087932</c:v>
                </c:pt>
                <c:pt idx="14">
                  <c:v>1491.82877331738</c:v>
                </c:pt>
                <c:pt idx="15">
                  <c:v>1456.87233427015</c:v>
                </c:pt>
                <c:pt idx="16">
                  <c:v>1424.62509312412</c:v>
                </c:pt>
                <c:pt idx="17">
                  <c:v>1394.74486172604</c:v>
                </c:pt>
                <c:pt idx="18">
                  <c:v>1366.94960158006</c:v>
                </c:pt>
                <c:pt idx="19">
                  <c:v>1341.00078519403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Puntos!$F$65:$F$84</c:f>
              <c:numCache>
                <c:formatCode>0.00000</c:formatCode>
                <c:ptCount val="20"/>
                <c:pt idx="0">
                  <c:v>1.0751252978026</c:v>
                </c:pt>
                <c:pt idx="1">
                  <c:v>1.04517347292056</c:v>
                </c:pt>
                <c:pt idx="2">
                  <c:v>1.01391819880442</c:v>
                </c:pt>
                <c:pt idx="3">
                  <c:v>0.981239547112624</c:v>
                </c:pt>
                <c:pt idx="4">
                  <c:v>0.947003027659345</c:v>
                </c:pt>
                <c:pt idx="5">
                  <c:v>0.911051202893212</c:v>
                </c:pt>
                <c:pt idx="6">
                  <c:v>0.873204600826051</c:v>
                </c:pt>
                <c:pt idx="7">
                  <c:v>0.833250730201878</c:v>
                </c:pt>
                <c:pt idx="8">
                  <c:v>0.790941896307622</c:v>
                </c:pt>
                <c:pt idx="9">
                  <c:v>0.745983883579602</c:v>
                </c:pt>
                <c:pt idx="10">
                  <c:v>0.698020695939982</c:v>
                </c:pt>
                <c:pt idx="11">
                  <c:v>0.646623709523942</c:v>
                </c:pt>
                <c:pt idx="12">
                  <c:v>0.591260812201481</c:v>
                </c:pt>
                <c:pt idx="13">
                  <c:v>0.531269689425064</c:v>
                </c:pt>
                <c:pt idx="14">
                  <c:v>0.465806646988699</c:v>
                </c:pt>
                <c:pt idx="15">
                  <c:v>0.393769348324015</c:v>
                </c:pt>
                <c:pt idx="16">
                  <c:v>0.313691780567552</c:v>
                </c:pt>
                <c:pt idx="17">
                  <c:v>0.223547146149564</c:v>
                </c:pt>
                <c:pt idx="18">
                  <c:v>0.120439803516173</c:v>
                </c:pt>
                <c:pt idx="19">
                  <c:v>0</c:v>
                </c:pt>
              </c:numCache>
            </c:numRef>
          </c:xVal>
          <c:yVal>
            <c:numRef>
              <c:f>Puntos!$D$65:$D$84</c:f>
              <c:numCache>
                <c:formatCode>0.00</c:formatCode>
                <c:ptCount val="20"/>
                <c:pt idx="0">
                  <c:v>1341.00078519403</c:v>
                </c:pt>
                <c:pt idx="1">
                  <c:v>1286.21083186769</c:v>
                </c:pt>
                <c:pt idx="2">
                  <c:v>1231.42191954215</c:v>
                </c:pt>
                <c:pt idx="3">
                  <c:v>1176.63196621582</c:v>
                </c:pt>
                <c:pt idx="4">
                  <c:v>1121.84305389027</c:v>
                </c:pt>
                <c:pt idx="5">
                  <c:v>1067.05310056394</c:v>
                </c:pt>
                <c:pt idx="6">
                  <c:v>1012.26418823839</c:v>
                </c:pt>
                <c:pt idx="7">
                  <c:v>957.474234912058</c:v>
                </c:pt>
                <c:pt idx="8">
                  <c:v>902.684281585726</c:v>
                </c:pt>
                <c:pt idx="9">
                  <c:v>847.895369260179</c:v>
                </c:pt>
                <c:pt idx="10">
                  <c:v>793.105415933847</c:v>
                </c:pt>
                <c:pt idx="11">
                  <c:v>738.3165036083</c:v>
                </c:pt>
                <c:pt idx="12">
                  <c:v>683.526550281968</c:v>
                </c:pt>
                <c:pt idx="13">
                  <c:v>628.736596955636</c:v>
                </c:pt>
                <c:pt idx="14">
                  <c:v>573.94768463009</c:v>
                </c:pt>
                <c:pt idx="15">
                  <c:v>519.157731303758</c:v>
                </c:pt>
                <c:pt idx="16">
                  <c:v>464.368818978211</c:v>
                </c:pt>
                <c:pt idx="17">
                  <c:v>409.578865651879</c:v>
                </c:pt>
                <c:pt idx="18">
                  <c:v>354.789953326332</c:v>
                </c:pt>
                <c:pt idx="19">
                  <c:v>300</c:v>
                </c:pt>
              </c:numCache>
            </c:numRef>
          </c:yVal>
          <c:smooth val="1"/>
        </c:ser>
        <c:axId val="24411065"/>
        <c:axId val="6544633"/>
      </c:scatterChart>
      <c:valAx>
        <c:axId val="244110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 (kJ/kg·K)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4633"/>
        <c:crosses val="autoZero"/>
        <c:crossBetween val="midCat"/>
      </c:valAx>
      <c:valAx>
        <c:axId val="6544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1106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1.03888477974684</c:v>
                </c:pt>
                <c:pt idx="2">
                  <c:v>0.987897110548523</c:v>
                </c:pt>
                <c:pt idx="3">
                  <c:v>0.93690847257384</c:v>
                </c:pt>
                <c:pt idx="4">
                  <c:v>0.885920803375528</c:v>
                </c:pt>
                <c:pt idx="5">
                  <c:v>0.834932165400844</c:v>
                </c:pt>
                <c:pt idx="6">
                  <c:v>0.783944496202532</c:v>
                </c:pt>
                <c:pt idx="7">
                  <c:v>0.732955858227848</c:v>
                </c:pt>
                <c:pt idx="8">
                  <c:v>0.681967220253165</c:v>
                </c:pt>
                <c:pt idx="9">
                  <c:v>0.630979551054852</c:v>
                </c:pt>
                <c:pt idx="10">
                  <c:v>0.579990913080169</c:v>
                </c:pt>
                <c:pt idx="11">
                  <c:v>0.529003243881857</c:v>
                </c:pt>
                <c:pt idx="12">
                  <c:v>0.478014605907173</c:v>
                </c:pt>
                <c:pt idx="13">
                  <c:v>0.42702596793249</c:v>
                </c:pt>
                <c:pt idx="14">
                  <c:v>0.376038298734177</c:v>
                </c:pt>
                <c:pt idx="15">
                  <c:v>0.325049660759494</c:v>
                </c:pt>
                <c:pt idx="16">
                  <c:v>0.274061991561182</c:v>
                </c:pt>
                <c:pt idx="17">
                  <c:v>0.223073353586498</c:v>
                </c:pt>
                <c:pt idx="18">
                  <c:v>0.172085684388186</c:v>
                </c:pt>
                <c:pt idx="19">
                  <c:v>0.121097046413502</c:v>
                </c:pt>
              </c:numCache>
            </c:numRef>
          </c:xVal>
          <c:yVal>
            <c:numRef>
              <c:f>Puntos!$D$5:$D$24</c:f>
              <c:numCache>
                <c:formatCode>0.00</c:formatCode>
                <c:ptCount val="20"/>
                <c:pt idx="0">
                  <c:v>300</c:v>
                </c:pt>
                <c:pt idx="1">
                  <c:v>305.805100937866</c:v>
                </c:pt>
                <c:pt idx="2">
                  <c:v>312.023276300521</c:v>
                </c:pt>
                <c:pt idx="3">
                  <c:v>318.707887911787</c:v>
                </c:pt>
                <c:pt idx="4">
                  <c:v>325.922031595089</c:v>
                </c:pt>
                <c:pt idx="5">
                  <c:v>333.742259465165</c:v>
                </c:pt>
                <c:pt idx="6">
                  <c:v>342.261108517837</c:v>
                </c:pt>
                <c:pt idx="7">
                  <c:v>351.593267724294</c:v>
                </c:pt>
                <c:pt idx="8">
                  <c:v>361.881414107057</c:v>
                </c:pt>
                <c:pt idx="9">
                  <c:v>373.306511151644</c:v>
                </c:pt>
                <c:pt idx="10">
                  <c:v>386.10302396237</c:v>
                </c:pt>
                <c:pt idx="11">
                  <c:v>400.579153730023</c:v>
                </c:pt>
                <c:pt idx="12">
                  <c:v>417.152847125763</c:v>
                </c:pt>
                <c:pt idx="13">
                  <c:v>436.405247913033</c:v>
                </c:pt>
                <c:pt idx="14">
                  <c:v>459.175647531713</c:v>
                </c:pt>
                <c:pt idx="15">
                  <c:v>486.734120714902</c:v>
                </c:pt>
                <c:pt idx="16">
                  <c:v>521.113297063665</c:v>
                </c:pt>
                <c:pt idx="17">
                  <c:v>565.838638714841</c:v>
                </c:pt>
                <c:pt idx="18">
                  <c:v>627.731296260747</c:v>
                </c:pt>
                <c:pt idx="19">
                  <c:v>722.467405584207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0.121097046413502</c:v>
                </c:pt>
                <c:pt idx="1">
                  <c:v>0.121097046413502</c:v>
                </c:pt>
                <c:pt idx="2">
                  <c:v>0.121097046413502</c:v>
                </c:pt>
                <c:pt idx="3">
                  <c:v>0.121097046413502</c:v>
                </c:pt>
                <c:pt idx="4">
                  <c:v>0.121097046413502</c:v>
                </c:pt>
                <c:pt idx="5">
                  <c:v>0.121097046413502</c:v>
                </c:pt>
                <c:pt idx="6">
                  <c:v>0.121097046413502</c:v>
                </c:pt>
                <c:pt idx="7">
                  <c:v>0.121097046413502</c:v>
                </c:pt>
                <c:pt idx="8">
                  <c:v>0.121097046413502</c:v>
                </c:pt>
                <c:pt idx="9">
                  <c:v>0.121097046413502</c:v>
                </c:pt>
                <c:pt idx="10">
                  <c:v>0.121097046413502</c:v>
                </c:pt>
                <c:pt idx="11">
                  <c:v>0.121097046413502</c:v>
                </c:pt>
                <c:pt idx="12">
                  <c:v>0.121097046413502</c:v>
                </c:pt>
                <c:pt idx="13">
                  <c:v>0.121097046413502</c:v>
                </c:pt>
                <c:pt idx="14">
                  <c:v>0.121097046413502</c:v>
                </c:pt>
                <c:pt idx="15">
                  <c:v>0.121097046413502</c:v>
                </c:pt>
                <c:pt idx="16">
                  <c:v>0.121097046413502</c:v>
                </c:pt>
                <c:pt idx="17">
                  <c:v>0.121097046413502</c:v>
                </c:pt>
                <c:pt idx="18">
                  <c:v>0.121097046413502</c:v>
                </c:pt>
                <c:pt idx="19">
                  <c:v>0.121097046413502</c:v>
                </c:pt>
              </c:numCache>
            </c:numRef>
          </c:xVal>
          <c:yVal>
            <c:numRef>
              <c:f>Puntos!$D$25:$D$44</c:f>
              <c:numCache>
                <c:formatCode>0.00</c:formatCode>
                <c:ptCount val="20"/>
                <c:pt idx="0">
                  <c:v>722.467405584207</c:v>
                </c:pt>
                <c:pt idx="1">
                  <c:v>854.413923690057</c:v>
                </c:pt>
                <c:pt idx="2">
                  <c:v>986.357934832118</c:v>
                </c:pt>
                <c:pt idx="3">
                  <c:v>1118.30445293797</c:v>
                </c:pt>
                <c:pt idx="4">
                  <c:v>1250.24846408003</c:v>
                </c:pt>
                <c:pt idx="5">
                  <c:v>1382.19498218588</c:v>
                </c:pt>
                <c:pt idx="6">
                  <c:v>1514.13899332794</c:v>
                </c:pt>
                <c:pt idx="7">
                  <c:v>1646.08551143379</c:v>
                </c:pt>
                <c:pt idx="8">
                  <c:v>1778.03202953964</c:v>
                </c:pt>
                <c:pt idx="9">
                  <c:v>1909.9760406817</c:v>
                </c:pt>
                <c:pt idx="10">
                  <c:v>2041.92255878755</c:v>
                </c:pt>
                <c:pt idx="11">
                  <c:v>2173.86656992961</c:v>
                </c:pt>
                <c:pt idx="12">
                  <c:v>2305.81308803546</c:v>
                </c:pt>
                <c:pt idx="13">
                  <c:v>2437.75960614131</c:v>
                </c:pt>
                <c:pt idx="14">
                  <c:v>2569.70361728337</c:v>
                </c:pt>
                <c:pt idx="15">
                  <c:v>2701.65013538922</c:v>
                </c:pt>
                <c:pt idx="16">
                  <c:v>2833.59414653128</c:v>
                </c:pt>
                <c:pt idx="17">
                  <c:v>2965.54066463713</c:v>
                </c:pt>
                <c:pt idx="18">
                  <c:v>3097.48467577919</c:v>
                </c:pt>
                <c:pt idx="19">
                  <c:v>3229.43119388504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0.121097046413502</c:v>
                </c:pt>
                <c:pt idx="1">
                  <c:v>0.172085684388186</c:v>
                </c:pt>
                <c:pt idx="2">
                  <c:v>0.223073353586498</c:v>
                </c:pt>
                <c:pt idx="3">
                  <c:v>0.274061991561181</c:v>
                </c:pt>
                <c:pt idx="4">
                  <c:v>0.325049660759494</c:v>
                </c:pt>
                <c:pt idx="5">
                  <c:v>0.376038298734177</c:v>
                </c:pt>
                <c:pt idx="6">
                  <c:v>0.427025967932489</c:v>
                </c:pt>
                <c:pt idx="7">
                  <c:v>0.478014605907173</c:v>
                </c:pt>
                <c:pt idx="8">
                  <c:v>0.529003243881857</c:v>
                </c:pt>
                <c:pt idx="9">
                  <c:v>0.579990913080169</c:v>
                </c:pt>
                <c:pt idx="10">
                  <c:v>0.630979551054852</c:v>
                </c:pt>
                <c:pt idx="11">
                  <c:v>0.681967220253165</c:v>
                </c:pt>
                <c:pt idx="12">
                  <c:v>0.732955858227848</c:v>
                </c:pt>
                <c:pt idx="13">
                  <c:v>0.783944496202532</c:v>
                </c:pt>
                <c:pt idx="14">
                  <c:v>0.834932165400844</c:v>
                </c:pt>
                <c:pt idx="15">
                  <c:v>0.885920803375528</c:v>
                </c:pt>
                <c:pt idx="16">
                  <c:v>0.93690847257384</c:v>
                </c:pt>
                <c:pt idx="17">
                  <c:v>0.987897110548523</c:v>
                </c:pt>
                <c:pt idx="18">
                  <c:v>1.03888477974684</c:v>
                </c:pt>
                <c:pt idx="19">
                  <c:v>1.08987341772152</c:v>
                </c:pt>
              </c:numCache>
            </c:numRef>
          </c:xVal>
          <c:yVal>
            <c:numRef>
              <c:f>Puntos!$D$45:$D$64</c:f>
              <c:numCache>
                <c:formatCode>0.00</c:formatCode>
                <c:ptCount val="20"/>
                <c:pt idx="0">
                  <c:v>3229.43119388504</c:v>
                </c:pt>
                <c:pt idx="1">
                  <c:v>2805.96053725509</c:v>
                </c:pt>
                <c:pt idx="2">
                  <c:v>2529.3001960324</c:v>
                </c:pt>
                <c:pt idx="3">
                  <c:v>2329.37780179141</c:v>
                </c:pt>
                <c:pt idx="4">
                  <c:v>2175.70279353136</c:v>
                </c:pt>
                <c:pt idx="5">
                  <c:v>2052.51634627334</c:v>
                </c:pt>
                <c:pt idx="6">
                  <c:v>1950.73260038057</c:v>
                </c:pt>
                <c:pt idx="7">
                  <c:v>1864.67431847191</c:v>
                </c:pt>
                <c:pt idx="8">
                  <c:v>1790.5898656144</c:v>
                </c:pt>
                <c:pt idx="9">
                  <c:v>1725.88152766442</c:v>
                </c:pt>
                <c:pt idx="10">
                  <c:v>1668.68108190799</c:v>
                </c:pt>
                <c:pt idx="11">
                  <c:v>1617.61086821563</c:v>
                </c:pt>
                <c:pt idx="12">
                  <c:v>1571.62282695737</c:v>
                </c:pt>
                <c:pt idx="13">
                  <c:v>1529.90805087932</c:v>
                </c:pt>
                <c:pt idx="14">
                  <c:v>1491.82877331738</c:v>
                </c:pt>
                <c:pt idx="15">
                  <c:v>1456.87233427015</c:v>
                </c:pt>
                <c:pt idx="16">
                  <c:v>1424.62509312412</c:v>
                </c:pt>
                <c:pt idx="17">
                  <c:v>1394.74486172604</c:v>
                </c:pt>
                <c:pt idx="18">
                  <c:v>1366.94960158006</c:v>
                </c:pt>
                <c:pt idx="19">
                  <c:v>1341.00078519403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1.08987341772152</c:v>
                </c:pt>
                <c:pt idx="2">
                  <c:v>1.08987341772152</c:v>
                </c:pt>
                <c:pt idx="3">
                  <c:v>1.08987341772152</c:v>
                </c:pt>
                <c:pt idx="4">
                  <c:v>1.08987341772152</c:v>
                </c:pt>
                <c:pt idx="5">
                  <c:v>1.08987341772152</c:v>
                </c:pt>
                <c:pt idx="6">
                  <c:v>1.08987341772152</c:v>
                </c:pt>
                <c:pt idx="7">
                  <c:v>1.08987341772152</c:v>
                </c:pt>
                <c:pt idx="8">
                  <c:v>1.08987341772152</c:v>
                </c:pt>
                <c:pt idx="9">
                  <c:v>1.08987341772152</c:v>
                </c:pt>
                <c:pt idx="10">
                  <c:v>1.08987341772152</c:v>
                </c:pt>
                <c:pt idx="11">
                  <c:v>1.08987341772152</c:v>
                </c:pt>
                <c:pt idx="12">
                  <c:v>1.08987341772152</c:v>
                </c:pt>
                <c:pt idx="13">
                  <c:v>1.08987341772152</c:v>
                </c:pt>
                <c:pt idx="14">
                  <c:v>1.08987341772152</c:v>
                </c:pt>
                <c:pt idx="15">
                  <c:v>1.08987341772152</c:v>
                </c:pt>
                <c:pt idx="16">
                  <c:v>1.08987341772152</c:v>
                </c:pt>
                <c:pt idx="17">
                  <c:v>1.08987341772152</c:v>
                </c:pt>
                <c:pt idx="18">
                  <c:v>1.08987341772152</c:v>
                </c:pt>
                <c:pt idx="19">
                  <c:v>1.08987341772152</c:v>
                </c:pt>
              </c:numCache>
            </c:numRef>
          </c:xVal>
          <c:yVal>
            <c:numRef>
              <c:f>Puntos!$D$65:$D$84</c:f>
              <c:numCache>
                <c:formatCode>0.00</c:formatCode>
                <c:ptCount val="20"/>
                <c:pt idx="0">
                  <c:v>1341.00078519403</c:v>
                </c:pt>
                <c:pt idx="1">
                  <c:v>1286.21083186769</c:v>
                </c:pt>
                <c:pt idx="2">
                  <c:v>1231.42191954215</c:v>
                </c:pt>
                <c:pt idx="3">
                  <c:v>1176.63196621582</c:v>
                </c:pt>
                <c:pt idx="4">
                  <c:v>1121.84305389027</c:v>
                </c:pt>
                <c:pt idx="5">
                  <c:v>1067.05310056394</c:v>
                </c:pt>
                <c:pt idx="6">
                  <c:v>1012.26418823839</c:v>
                </c:pt>
                <c:pt idx="7">
                  <c:v>957.474234912058</c:v>
                </c:pt>
                <c:pt idx="8">
                  <c:v>902.684281585726</c:v>
                </c:pt>
                <c:pt idx="9">
                  <c:v>847.895369260179</c:v>
                </c:pt>
                <c:pt idx="10">
                  <c:v>793.105415933847</c:v>
                </c:pt>
                <c:pt idx="11">
                  <c:v>738.3165036083</c:v>
                </c:pt>
                <c:pt idx="12">
                  <c:v>683.526550281968</c:v>
                </c:pt>
                <c:pt idx="13">
                  <c:v>628.736596955636</c:v>
                </c:pt>
                <c:pt idx="14">
                  <c:v>573.94768463009</c:v>
                </c:pt>
                <c:pt idx="15">
                  <c:v>519.157731303758</c:v>
                </c:pt>
                <c:pt idx="16">
                  <c:v>464.368818978211</c:v>
                </c:pt>
                <c:pt idx="17">
                  <c:v>409.578865651879</c:v>
                </c:pt>
                <c:pt idx="18">
                  <c:v>354.789953326332</c:v>
                </c:pt>
                <c:pt idx="19">
                  <c:v>300</c:v>
                </c:pt>
              </c:numCache>
            </c:numRef>
          </c:yVal>
          <c:smooth val="1"/>
        </c:ser>
        <c:axId val="91010562"/>
        <c:axId val="66293359"/>
      </c:scatterChart>
      <c:valAx>
        <c:axId val="910105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93359"/>
        <c:crosses val="autoZero"/>
        <c:crossBetween val="midCat"/>
      </c:valAx>
      <c:valAx>
        <c:axId val="66293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105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(escalas logarítmicas)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1.03888477974684</c:v>
                </c:pt>
                <c:pt idx="2">
                  <c:v>0.987897110548523</c:v>
                </c:pt>
                <c:pt idx="3">
                  <c:v>0.93690847257384</c:v>
                </c:pt>
                <c:pt idx="4">
                  <c:v>0.885920803375528</c:v>
                </c:pt>
                <c:pt idx="5">
                  <c:v>0.834932165400844</c:v>
                </c:pt>
                <c:pt idx="6">
                  <c:v>0.783944496202532</c:v>
                </c:pt>
                <c:pt idx="7">
                  <c:v>0.732955858227848</c:v>
                </c:pt>
                <c:pt idx="8">
                  <c:v>0.681967220253165</c:v>
                </c:pt>
                <c:pt idx="9">
                  <c:v>0.630979551054852</c:v>
                </c:pt>
                <c:pt idx="10">
                  <c:v>0.579990913080169</c:v>
                </c:pt>
                <c:pt idx="11">
                  <c:v>0.529003243881857</c:v>
                </c:pt>
                <c:pt idx="12">
                  <c:v>0.478014605907173</c:v>
                </c:pt>
                <c:pt idx="13">
                  <c:v>0.42702596793249</c:v>
                </c:pt>
                <c:pt idx="14">
                  <c:v>0.376038298734177</c:v>
                </c:pt>
                <c:pt idx="15">
                  <c:v>0.325049660759494</c:v>
                </c:pt>
                <c:pt idx="16">
                  <c:v>0.274061991561182</c:v>
                </c:pt>
                <c:pt idx="17">
                  <c:v>0.223073353586498</c:v>
                </c:pt>
                <c:pt idx="18">
                  <c:v>0.172085684388186</c:v>
                </c:pt>
                <c:pt idx="19">
                  <c:v>0.121097046413502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79</c:v>
                </c:pt>
                <c:pt idx="1">
                  <c:v>84.4810374356964</c:v>
                </c:pt>
                <c:pt idx="2">
                  <c:v>90.6477803630046</c:v>
                </c:pt>
                <c:pt idx="3">
                  <c:v>97.6287081484087</c:v>
                </c:pt>
                <c:pt idx="4">
                  <c:v>105.584633199025</c:v>
                </c:pt>
                <c:pt idx="5">
                  <c:v>114.720731139298</c:v>
                </c:pt>
                <c:pt idx="6">
                  <c:v>125.30088369833</c:v>
                </c:pt>
                <c:pt idx="7">
                  <c:v>137.671684732622</c:v>
                </c:pt>
                <c:pt idx="8">
                  <c:v>152.294659866745</c:v>
                </c:pt>
                <c:pt idx="9">
                  <c:v>169.797846097247</c:v>
                </c:pt>
                <c:pt idx="10">
                  <c:v>191.057420690802</c:v>
                </c:pt>
                <c:pt idx="11">
                  <c:v>217.326109906033</c:v>
                </c:pt>
                <c:pt idx="12">
                  <c:v>250.458596129892</c:v>
                </c:pt>
                <c:pt idx="13">
                  <c:v>293.303722856596</c:v>
                </c:pt>
                <c:pt idx="14">
                  <c:v>350.452098324058</c:v>
                </c:pt>
                <c:pt idx="15">
                  <c:v>429.758001650512</c:v>
                </c:pt>
                <c:pt idx="16">
                  <c:v>545.714184609522</c:v>
                </c:pt>
                <c:pt idx="17">
                  <c:v>727.992324947002</c:v>
                </c:pt>
                <c:pt idx="18">
                  <c:v>1046.9138247458</c:v>
                </c:pt>
                <c:pt idx="19">
                  <c:v>1712.24775123457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0.121097046413502</c:v>
                </c:pt>
                <c:pt idx="1">
                  <c:v>0.121097046413502</c:v>
                </c:pt>
                <c:pt idx="2">
                  <c:v>0.121097046413502</c:v>
                </c:pt>
                <c:pt idx="3">
                  <c:v>0.121097046413502</c:v>
                </c:pt>
                <c:pt idx="4">
                  <c:v>0.121097046413502</c:v>
                </c:pt>
                <c:pt idx="5">
                  <c:v>0.121097046413502</c:v>
                </c:pt>
                <c:pt idx="6">
                  <c:v>0.121097046413502</c:v>
                </c:pt>
                <c:pt idx="7">
                  <c:v>0.121097046413502</c:v>
                </c:pt>
                <c:pt idx="8">
                  <c:v>0.121097046413502</c:v>
                </c:pt>
                <c:pt idx="9">
                  <c:v>0.121097046413502</c:v>
                </c:pt>
                <c:pt idx="10">
                  <c:v>0.121097046413502</c:v>
                </c:pt>
                <c:pt idx="11">
                  <c:v>0.121097046413502</c:v>
                </c:pt>
                <c:pt idx="12">
                  <c:v>0.121097046413502</c:v>
                </c:pt>
                <c:pt idx="13">
                  <c:v>0.121097046413502</c:v>
                </c:pt>
                <c:pt idx="14">
                  <c:v>0.121097046413502</c:v>
                </c:pt>
                <c:pt idx="15">
                  <c:v>0.121097046413502</c:v>
                </c:pt>
                <c:pt idx="16">
                  <c:v>0.121097046413502</c:v>
                </c:pt>
                <c:pt idx="17">
                  <c:v>0.121097046413502</c:v>
                </c:pt>
                <c:pt idx="18">
                  <c:v>0.121097046413502</c:v>
                </c:pt>
                <c:pt idx="19">
                  <c:v>0.121097046413502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1712.24775123457</c:v>
                </c:pt>
                <c:pt idx="1">
                  <c:v>2024.96099914544</c:v>
                </c:pt>
                <c:pt idx="2">
                  <c:v>2337.66830555212</c:v>
                </c:pt>
                <c:pt idx="3">
                  <c:v>2650.38155346298</c:v>
                </c:pt>
                <c:pt idx="4">
                  <c:v>2963.08885986967</c:v>
                </c:pt>
                <c:pt idx="5">
                  <c:v>3275.80210778053</c:v>
                </c:pt>
                <c:pt idx="6">
                  <c:v>3588.50941418722</c:v>
                </c:pt>
                <c:pt idx="7">
                  <c:v>3901.22266209808</c:v>
                </c:pt>
                <c:pt idx="8">
                  <c:v>4213.93591000895</c:v>
                </c:pt>
                <c:pt idx="9">
                  <c:v>4526.64321641563</c:v>
                </c:pt>
                <c:pt idx="10">
                  <c:v>4839.35646432649</c:v>
                </c:pt>
                <c:pt idx="11">
                  <c:v>5152.06377073318</c:v>
                </c:pt>
                <c:pt idx="12">
                  <c:v>5464.77701864404</c:v>
                </c:pt>
                <c:pt idx="13">
                  <c:v>5777.49026655491</c:v>
                </c:pt>
                <c:pt idx="14">
                  <c:v>6090.19757296159</c:v>
                </c:pt>
                <c:pt idx="15">
                  <c:v>6402.91082087246</c:v>
                </c:pt>
                <c:pt idx="16">
                  <c:v>6715.61812727914</c:v>
                </c:pt>
                <c:pt idx="17">
                  <c:v>7028.33137519</c:v>
                </c:pt>
                <c:pt idx="18">
                  <c:v>7341.03868159669</c:v>
                </c:pt>
                <c:pt idx="19">
                  <c:v>7653.75192950755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0.121097046413502</c:v>
                </c:pt>
                <c:pt idx="1">
                  <c:v>0.172085684388186</c:v>
                </c:pt>
                <c:pt idx="2">
                  <c:v>0.223073353586498</c:v>
                </c:pt>
                <c:pt idx="3">
                  <c:v>0.274061991561181</c:v>
                </c:pt>
                <c:pt idx="4">
                  <c:v>0.325049660759494</c:v>
                </c:pt>
                <c:pt idx="5">
                  <c:v>0.376038298734177</c:v>
                </c:pt>
                <c:pt idx="6">
                  <c:v>0.427025967932489</c:v>
                </c:pt>
                <c:pt idx="7">
                  <c:v>0.478014605907173</c:v>
                </c:pt>
                <c:pt idx="8">
                  <c:v>0.529003243881857</c:v>
                </c:pt>
                <c:pt idx="9">
                  <c:v>0.579990913080169</c:v>
                </c:pt>
                <c:pt idx="10">
                  <c:v>0.630979551054852</c:v>
                </c:pt>
                <c:pt idx="11">
                  <c:v>0.681967220253165</c:v>
                </c:pt>
                <c:pt idx="12">
                  <c:v>0.732955858227848</c:v>
                </c:pt>
                <c:pt idx="13">
                  <c:v>0.783944496202532</c:v>
                </c:pt>
                <c:pt idx="14">
                  <c:v>0.834932165400844</c:v>
                </c:pt>
                <c:pt idx="15">
                  <c:v>0.885920803375528</c:v>
                </c:pt>
                <c:pt idx="16">
                  <c:v>0.93690847257384</c:v>
                </c:pt>
                <c:pt idx="17">
                  <c:v>0.987897110548523</c:v>
                </c:pt>
                <c:pt idx="18">
                  <c:v>1.03888477974684</c:v>
                </c:pt>
                <c:pt idx="19">
                  <c:v>1.08987341772152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7653.75192950755</c:v>
                </c:pt>
                <c:pt idx="1">
                  <c:v>4679.70753671534</c:v>
                </c:pt>
                <c:pt idx="2">
                  <c:v>3254.12759789718</c:v>
                </c:pt>
                <c:pt idx="3">
                  <c:v>2439.34383350963</c:v>
                </c:pt>
                <c:pt idx="4">
                  <c:v>1921.01939218918</c:v>
                </c:pt>
                <c:pt idx="5">
                  <c:v>1566.52179675152</c:v>
                </c:pt>
                <c:pt idx="6">
                  <c:v>1311.06840883675</c:v>
                </c:pt>
                <c:pt idx="7">
                  <c:v>1119.55058022926</c:v>
                </c:pt>
                <c:pt idx="8">
                  <c:v>971.448280090513</c:v>
                </c:pt>
                <c:pt idx="9">
                  <c:v>854.027170545036</c:v>
                </c:pt>
                <c:pt idx="10">
                  <c:v>758.996816468875</c:v>
                </c:pt>
                <c:pt idx="11">
                  <c:v>680.757528207208</c:v>
                </c:pt>
                <c:pt idx="12">
                  <c:v>615.392791084766</c:v>
                </c:pt>
                <c:pt idx="13">
                  <c:v>560.095278083218</c:v>
                </c:pt>
                <c:pt idx="14">
                  <c:v>512.801968452773</c:v>
                </c:pt>
                <c:pt idx="15">
                  <c:v>471.963586747718</c:v>
                </c:pt>
                <c:pt idx="16">
                  <c:v>436.400580948315</c:v>
                </c:pt>
                <c:pt idx="17">
                  <c:v>405.195815476283</c:v>
                </c:pt>
                <c:pt idx="18">
                  <c:v>377.630458450916</c:v>
                </c:pt>
                <c:pt idx="19">
                  <c:v>353.13020676776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1.08987341772152</c:v>
                </c:pt>
                <c:pt idx="2">
                  <c:v>1.08987341772152</c:v>
                </c:pt>
                <c:pt idx="3">
                  <c:v>1.08987341772152</c:v>
                </c:pt>
                <c:pt idx="4">
                  <c:v>1.08987341772152</c:v>
                </c:pt>
                <c:pt idx="5">
                  <c:v>1.08987341772152</c:v>
                </c:pt>
                <c:pt idx="6">
                  <c:v>1.08987341772152</c:v>
                </c:pt>
                <c:pt idx="7">
                  <c:v>1.08987341772152</c:v>
                </c:pt>
                <c:pt idx="8">
                  <c:v>1.08987341772152</c:v>
                </c:pt>
                <c:pt idx="9">
                  <c:v>1.08987341772152</c:v>
                </c:pt>
                <c:pt idx="10">
                  <c:v>1.08987341772152</c:v>
                </c:pt>
                <c:pt idx="11">
                  <c:v>1.08987341772152</c:v>
                </c:pt>
                <c:pt idx="12">
                  <c:v>1.08987341772152</c:v>
                </c:pt>
                <c:pt idx="13">
                  <c:v>1.08987341772152</c:v>
                </c:pt>
                <c:pt idx="14">
                  <c:v>1.08987341772152</c:v>
                </c:pt>
                <c:pt idx="15">
                  <c:v>1.08987341772152</c:v>
                </c:pt>
                <c:pt idx="16">
                  <c:v>1.08987341772152</c:v>
                </c:pt>
                <c:pt idx="17">
                  <c:v>1.08987341772152</c:v>
                </c:pt>
                <c:pt idx="18">
                  <c:v>1.08987341772152</c:v>
                </c:pt>
                <c:pt idx="19">
                  <c:v>1.08987341772152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353.13020676776</c:v>
                </c:pt>
                <c:pt idx="1">
                  <c:v>338.702185725159</c:v>
                </c:pt>
                <c:pt idx="2">
                  <c:v>324.274438812765</c:v>
                </c:pt>
                <c:pt idx="3">
                  <c:v>309.846417770165</c:v>
                </c:pt>
                <c:pt idx="4">
                  <c:v>295.418670857771</c:v>
                </c:pt>
                <c:pt idx="5">
                  <c:v>280.99064981517</c:v>
                </c:pt>
                <c:pt idx="6">
                  <c:v>266.562902902776</c:v>
                </c:pt>
                <c:pt idx="7">
                  <c:v>252.134881860175</c:v>
                </c:pt>
                <c:pt idx="8">
                  <c:v>237.706860817574</c:v>
                </c:pt>
                <c:pt idx="9">
                  <c:v>223.27911390518</c:v>
                </c:pt>
                <c:pt idx="10">
                  <c:v>208.85109286258</c:v>
                </c:pt>
                <c:pt idx="11">
                  <c:v>194.423345950186</c:v>
                </c:pt>
                <c:pt idx="12">
                  <c:v>179.995324907585</c:v>
                </c:pt>
                <c:pt idx="13">
                  <c:v>165.567303864984</c:v>
                </c:pt>
                <c:pt idx="14">
                  <c:v>151.13955695259</c:v>
                </c:pt>
                <c:pt idx="15">
                  <c:v>136.711535909989</c:v>
                </c:pt>
                <c:pt idx="16">
                  <c:v>122.283788997595</c:v>
                </c:pt>
                <c:pt idx="17">
                  <c:v>107.855767954995</c:v>
                </c:pt>
                <c:pt idx="18">
                  <c:v>93.4280210426008</c:v>
                </c:pt>
                <c:pt idx="19">
                  <c:v>79</c:v>
                </c:pt>
              </c:numCache>
            </c:numRef>
          </c:yVal>
          <c:smooth val="1"/>
        </c:ser>
        <c:axId val="95499335"/>
        <c:axId val="1028240"/>
      </c:scatterChart>
      <c:valAx>
        <c:axId val="95499335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8240"/>
        <c:crosses val="autoZero"/>
        <c:crossBetween val="midCat"/>
      </c:valAx>
      <c:valAx>
        <c:axId val="102824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9933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de un cilindro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Puntos!$G$5:$G$24</c:f>
              <c:numCache>
                <c:formatCode>0.00</c:formatCode>
                <c:ptCount val="20"/>
                <c:pt idx="0">
                  <c:v>362.856896732734</c:v>
                </c:pt>
                <c:pt idx="1">
                  <c:v>345.88099967599</c:v>
                </c:pt>
                <c:pt idx="2">
                  <c:v>328.905425158709</c:v>
                </c:pt>
                <c:pt idx="3">
                  <c:v>311.929528101965</c:v>
                </c:pt>
                <c:pt idx="4">
                  <c:v>294.953953584684</c:v>
                </c:pt>
                <c:pt idx="5">
                  <c:v>277.97805652794</c:v>
                </c:pt>
                <c:pt idx="6">
                  <c:v>261.00248201066</c:v>
                </c:pt>
                <c:pt idx="7">
                  <c:v>244.026584953916</c:v>
                </c:pt>
                <c:pt idx="8">
                  <c:v>227.050687897171</c:v>
                </c:pt>
                <c:pt idx="9">
                  <c:v>210.075113379891</c:v>
                </c:pt>
                <c:pt idx="10">
                  <c:v>193.099216323147</c:v>
                </c:pt>
                <c:pt idx="11">
                  <c:v>176.123641805866</c:v>
                </c:pt>
                <c:pt idx="12">
                  <c:v>159.147744749122</c:v>
                </c:pt>
                <c:pt idx="13">
                  <c:v>142.171847692378</c:v>
                </c:pt>
                <c:pt idx="14">
                  <c:v>125.196273175097</c:v>
                </c:pt>
                <c:pt idx="15">
                  <c:v>108.220376118353</c:v>
                </c:pt>
                <c:pt idx="16">
                  <c:v>91.2448016010727</c:v>
                </c:pt>
                <c:pt idx="17">
                  <c:v>74.2689045443284</c:v>
                </c:pt>
                <c:pt idx="18">
                  <c:v>57.293330027048</c:v>
                </c:pt>
                <c:pt idx="19">
                  <c:v>40.3174329703038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79</c:v>
                </c:pt>
                <c:pt idx="1">
                  <c:v>84.4810374356964</c:v>
                </c:pt>
                <c:pt idx="2">
                  <c:v>90.6477803630046</c:v>
                </c:pt>
                <c:pt idx="3">
                  <c:v>97.6287081484087</c:v>
                </c:pt>
                <c:pt idx="4">
                  <c:v>105.584633199025</c:v>
                </c:pt>
                <c:pt idx="5">
                  <c:v>114.720731139298</c:v>
                </c:pt>
                <c:pt idx="6">
                  <c:v>125.30088369833</c:v>
                </c:pt>
                <c:pt idx="7">
                  <c:v>137.671684732622</c:v>
                </c:pt>
                <c:pt idx="8">
                  <c:v>152.294659866745</c:v>
                </c:pt>
                <c:pt idx="9">
                  <c:v>169.797846097247</c:v>
                </c:pt>
                <c:pt idx="10">
                  <c:v>191.057420690802</c:v>
                </c:pt>
                <c:pt idx="11">
                  <c:v>217.326109906033</c:v>
                </c:pt>
                <c:pt idx="12">
                  <c:v>250.458596129892</c:v>
                </c:pt>
                <c:pt idx="13">
                  <c:v>293.303722856596</c:v>
                </c:pt>
                <c:pt idx="14">
                  <c:v>350.452098324058</c:v>
                </c:pt>
                <c:pt idx="15">
                  <c:v>429.758001650512</c:v>
                </c:pt>
                <c:pt idx="16">
                  <c:v>545.714184609522</c:v>
                </c:pt>
                <c:pt idx="17">
                  <c:v>727.992324947002</c:v>
                </c:pt>
                <c:pt idx="18">
                  <c:v>1046.9138247458</c:v>
                </c:pt>
                <c:pt idx="19">
                  <c:v>1712.24775123457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Puntos!$G$25:$G$44</c:f>
              <c:numCache>
                <c:formatCode>0.00</c:formatCode>
                <c:ptCount val="20"/>
                <c:pt idx="0">
                  <c:v>40.3174329703038</c:v>
                </c:pt>
                <c:pt idx="1">
                  <c:v>40.3174329703038</c:v>
                </c:pt>
                <c:pt idx="2">
                  <c:v>40.3174329703038</c:v>
                </c:pt>
                <c:pt idx="3">
                  <c:v>40.3174329703038</c:v>
                </c:pt>
                <c:pt idx="4">
                  <c:v>40.3174329703038</c:v>
                </c:pt>
                <c:pt idx="5">
                  <c:v>40.3174329703038</c:v>
                </c:pt>
                <c:pt idx="6">
                  <c:v>40.3174329703038</c:v>
                </c:pt>
                <c:pt idx="7">
                  <c:v>40.3174329703038</c:v>
                </c:pt>
                <c:pt idx="8">
                  <c:v>40.3174329703038</c:v>
                </c:pt>
                <c:pt idx="9">
                  <c:v>40.3174329703038</c:v>
                </c:pt>
                <c:pt idx="10">
                  <c:v>40.3174329703038</c:v>
                </c:pt>
                <c:pt idx="11">
                  <c:v>40.3174329703038</c:v>
                </c:pt>
                <c:pt idx="12">
                  <c:v>40.3174329703038</c:v>
                </c:pt>
                <c:pt idx="13">
                  <c:v>40.3174329703038</c:v>
                </c:pt>
                <c:pt idx="14">
                  <c:v>40.3174329703038</c:v>
                </c:pt>
                <c:pt idx="15">
                  <c:v>40.3174329703038</c:v>
                </c:pt>
                <c:pt idx="16">
                  <c:v>40.3174329703038</c:v>
                </c:pt>
                <c:pt idx="17">
                  <c:v>40.3174329703038</c:v>
                </c:pt>
                <c:pt idx="18">
                  <c:v>40.3174329703038</c:v>
                </c:pt>
                <c:pt idx="19">
                  <c:v>40.3174329703038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1712.24775123457</c:v>
                </c:pt>
                <c:pt idx="1">
                  <c:v>2024.96099914544</c:v>
                </c:pt>
                <c:pt idx="2">
                  <c:v>2337.66830555212</c:v>
                </c:pt>
                <c:pt idx="3">
                  <c:v>2650.38155346298</c:v>
                </c:pt>
                <c:pt idx="4">
                  <c:v>2963.08885986967</c:v>
                </c:pt>
                <c:pt idx="5">
                  <c:v>3275.80210778053</c:v>
                </c:pt>
                <c:pt idx="6">
                  <c:v>3588.50941418722</c:v>
                </c:pt>
                <c:pt idx="7">
                  <c:v>3901.22266209808</c:v>
                </c:pt>
                <c:pt idx="8">
                  <c:v>4213.93591000895</c:v>
                </c:pt>
                <c:pt idx="9">
                  <c:v>4526.64321641563</c:v>
                </c:pt>
                <c:pt idx="10">
                  <c:v>4839.35646432649</c:v>
                </c:pt>
                <c:pt idx="11">
                  <c:v>5152.06377073318</c:v>
                </c:pt>
                <c:pt idx="12">
                  <c:v>5464.77701864404</c:v>
                </c:pt>
                <c:pt idx="13">
                  <c:v>5777.49026655491</c:v>
                </c:pt>
                <c:pt idx="14">
                  <c:v>6090.19757296159</c:v>
                </c:pt>
                <c:pt idx="15">
                  <c:v>6402.91082087246</c:v>
                </c:pt>
                <c:pt idx="16">
                  <c:v>6715.61812727914</c:v>
                </c:pt>
                <c:pt idx="17">
                  <c:v>7028.33137519</c:v>
                </c:pt>
                <c:pt idx="18">
                  <c:v>7341.03868159669</c:v>
                </c:pt>
                <c:pt idx="19">
                  <c:v>7653.75192950755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Puntos!$G$45:$G$64</c:f>
              <c:numCache>
                <c:formatCode>0.00</c:formatCode>
                <c:ptCount val="20"/>
                <c:pt idx="0">
                  <c:v>40.3174329703038</c:v>
                </c:pt>
                <c:pt idx="1">
                  <c:v>57.293330027048</c:v>
                </c:pt>
                <c:pt idx="2">
                  <c:v>74.2689045443284</c:v>
                </c:pt>
                <c:pt idx="3">
                  <c:v>91.2448016010726</c:v>
                </c:pt>
                <c:pt idx="4">
                  <c:v>108.220376118353</c:v>
                </c:pt>
                <c:pt idx="5">
                  <c:v>125.196273175097</c:v>
                </c:pt>
                <c:pt idx="6">
                  <c:v>142.171847692378</c:v>
                </c:pt>
                <c:pt idx="7">
                  <c:v>159.147744749122</c:v>
                </c:pt>
                <c:pt idx="8">
                  <c:v>176.123641805866</c:v>
                </c:pt>
                <c:pt idx="9">
                  <c:v>193.099216323147</c:v>
                </c:pt>
                <c:pt idx="10">
                  <c:v>210.075113379891</c:v>
                </c:pt>
                <c:pt idx="11">
                  <c:v>227.050687897171</c:v>
                </c:pt>
                <c:pt idx="12">
                  <c:v>244.026584953916</c:v>
                </c:pt>
                <c:pt idx="13">
                  <c:v>261.00248201066</c:v>
                </c:pt>
                <c:pt idx="14">
                  <c:v>277.97805652794</c:v>
                </c:pt>
                <c:pt idx="15">
                  <c:v>294.953953584684</c:v>
                </c:pt>
                <c:pt idx="16">
                  <c:v>311.929528101965</c:v>
                </c:pt>
                <c:pt idx="17">
                  <c:v>328.905425158709</c:v>
                </c:pt>
                <c:pt idx="18">
                  <c:v>345.88099967599</c:v>
                </c:pt>
                <c:pt idx="19">
                  <c:v>362.856896732734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7653.75192950755</c:v>
                </c:pt>
                <c:pt idx="1">
                  <c:v>4679.70753671534</c:v>
                </c:pt>
                <c:pt idx="2">
                  <c:v>3254.12759789718</c:v>
                </c:pt>
                <c:pt idx="3">
                  <c:v>2439.34383350963</c:v>
                </c:pt>
                <c:pt idx="4">
                  <c:v>1921.01939218918</c:v>
                </c:pt>
                <c:pt idx="5">
                  <c:v>1566.52179675152</c:v>
                </c:pt>
                <c:pt idx="6">
                  <c:v>1311.06840883675</c:v>
                </c:pt>
                <c:pt idx="7">
                  <c:v>1119.55058022926</c:v>
                </c:pt>
                <c:pt idx="8">
                  <c:v>971.448280090513</c:v>
                </c:pt>
                <c:pt idx="9">
                  <c:v>854.027170545036</c:v>
                </c:pt>
                <c:pt idx="10">
                  <c:v>758.996816468875</c:v>
                </c:pt>
                <c:pt idx="11">
                  <c:v>680.757528207208</c:v>
                </c:pt>
                <c:pt idx="12">
                  <c:v>615.392791084766</c:v>
                </c:pt>
                <c:pt idx="13">
                  <c:v>560.095278083218</c:v>
                </c:pt>
                <c:pt idx="14">
                  <c:v>512.801968452773</c:v>
                </c:pt>
                <c:pt idx="15">
                  <c:v>471.963586747718</c:v>
                </c:pt>
                <c:pt idx="16">
                  <c:v>436.400580948315</c:v>
                </c:pt>
                <c:pt idx="17">
                  <c:v>405.195815476283</c:v>
                </c:pt>
                <c:pt idx="18">
                  <c:v>377.630458450916</c:v>
                </c:pt>
                <c:pt idx="19">
                  <c:v>353.13020676776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Puntos!$G$65:$G$84</c:f>
              <c:numCache>
                <c:formatCode>0.00</c:formatCode>
                <c:ptCount val="20"/>
                <c:pt idx="0">
                  <c:v>362.856896732734</c:v>
                </c:pt>
                <c:pt idx="1">
                  <c:v>362.856896732734</c:v>
                </c:pt>
                <c:pt idx="2">
                  <c:v>362.856896732734</c:v>
                </c:pt>
                <c:pt idx="3">
                  <c:v>362.856896732734</c:v>
                </c:pt>
                <c:pt idx="4">
                  <c:v>362.856896732734</c:v>
                </c:pt>
                <c:pt idx="5">
                  <c:v>362.856896732734</c:v>
                </c:pt>
                <c:pt idx="6">
                  <c:v>362.856896732734</c:v>
                </c:pt>
                <c:pt idx="7">
                  <c:v>362.856896732734</c:v>
                </c:pt>
                <c:pt idx="8">
                  <c:v>362.856896732734</c:v>
                </c:pt>
                <c:pt idx="9">
                  <c:v>362.856896732734</c:v>
                </c:pt>
                <c:pt idx="10">
                  <c:v>362.856896732734</c:v>
                </c:pt>
                <c:pt idx="11">
                  <c:v>362.856896732734</c:v>
                </c:pt>
                <c:pt idx="12">
                  <c:v>362.856896732734</c:v>
                </c:pt>
                <c:pt idx="13">
                  <c:v>362.856896732734</c:v>
                </c:pt>
                <c:pt idx="14">
                  <c:v>362.856896732734</c:v>
                </c:pt>
                <c:pt idx="15">
                  <c:v>362.856896732734</c:v>
                </c:pt>
                <c:pt idx="16">
                  <c:v>362.856896732734</c:v>
                </c:pt>
                <c:pt idx="17">
                  <c:v>362.856896732734</c:v>
                </c:pt>
                <c:pt idx="18">
                  <c:v>362.856896732734</c:v>
                </c:pt>
                <c:pt idx="19">
                  <c:v>362.856896732734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353.13020676776</c:v>
                </c:pt>
                <c:pt idx="1">
                  <c:v>338.702185725159</c:v>
                </c:pt>
                <c:pt idx="2">
                  <c:v>324.274438812765</c:v>
                </c:pt>
                <c:pt idx="3">
                  <c:v>309.846417770165</c:v>
                </c:pt>
                <c:pt idx="4">
                  <c:v>295.418670857771</c:v>
                </c:pt>
                <c:pt idx="5">
                  <c:v>280.99064981517</c:v>
                </c:pt>
                <c:pt idx="6">
                  <c:v>266.562902902776</c:v>
                </c:pt>
                <c:pt idx="7">
                  <c:v>252.134881860175</c:v>
                </c:pt>
                <c:pt idx="8">
                  <c:v>237.706860817574</c:v>
                </c:pt>
                <c:pt idx="9">
                  <c:v>223.27911390518</c:v>
                </c:pt>
                <c:pt idx="10">
                  <c:v>208.85109286258</c:v>
                </c:pt>
                <c:pt idx="11">
                  <c:v>194.423345950186</c:v>
                </c:pt>
                <c:pt idx="12">
                  <c:v>179.995324907585</c:v>
                </c:pt>
                <c:pt idx="13">
                  <c:v>165.567303864984</c:v>
                </c:pt>
                <c:pt idx="14">
                  <c:v>151.13955695259</c:v>
                </c:pt>
                <c:pt idx="15">
                  <c:v>136.711535909989</c:v>
                </c:pt>
                <c:pt idx="16">
                  <c:v>122.283788997595</c:v>
                </c:pt>
                <c:pt idx="17">
                  <c:v>107.855767954995</c:v>
                </c:pt>
                <c:pt idx="18">
                  <c:v>93.4280210426008</c:v>
                </c:pt>
                <c:pt idx="19">
                  <c:v>79</c:v>
                </c:pt>
              </c:numCache>
            </c:numRef>
          </c:yVal>
          <c:smooth val="1"/>
        </c:ser>
        <c:axId val="79353949"/>
        <c:axId val="50682790"/>
      </c:scatterChart>
      <c:valAx>
        <c:axId val="793539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82790"/>
        <c:crosses val="autoZero"/>
        <c:crossBetween val="midCat"/>
      </c:valAx>
      <c:valAx>
        <c:axId val="50682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539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Presión en el cilindro vs. ángulo del cigüeñal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 (kPa)"</c:f>
              <c:strCache>
                <c:ptCount val="1"/>
                <c:pt idx="0">
                  <c:v>P (kPa)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Angulo!$A$5:$A$185</c:f>
              <c:numCache>
                <c:formatCode>0</c:formatCode>
                <c:ptCount val="18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  <c:pt idx="49">
                  <c:v>196</c:v>
                </c:pt>
                <c:pt idx="50">
                  <c:v>200</c:v>
                </c:pt>
                <c:pt idx="51">
                  <c:v>204</c:v>
                </c:pt>
                <c:pt idx="52">
                  <c:v>208</c:v>
                </c:pt>
                <c:pt idx="53">
                  <c:v>212</c:v>
                </c:pt>
                <c:pt idx="54">
                  <c:v>216</c:v>
                </c:pt>
                <c:pt idx="55">
                  <c:v>220</c:v>
                </c:pt>
                <c:pt idx="56">
                  <c:v>224</c:v>
                </c:pt>
                <c:pt idx="57">
                  <c:v>228</c:v>
                </c:pt>
                <c:pt idx="58">
                  <c:v>232</c:v>
                </c:pt>
                <c:pt idx="59">
                  <c:v>236</c:v>
                </c:pt>
                <c:pt idx="60">
                  <c:v>240</c:v>
                </c:pt>
                <c:pt idx="61">
                  <c:v>244</c:v>
                </c:pt>
                <c:pt idx="62">
                  <c:v>248</c:v>
                </c:pt>
                <c:pt idx="63">
                  <c:v>252</c:v>
                </c:pt>
                <c:pt idx="64">
                  <c:v>256</c:v>
                </c:pt>
                <c:pt idx="65">
                  <c:v>260</c:v>
                </c:pt>
                <c:pt idx="66">
                  <c:v>264</c:v>
                </c:pt>
                <c:pt idx="67">
                  <c:v>268</c:v>
                </c:pt>
                <c:pt idx="68">
                  <c:v>272</c:v>
                </c:pt>
                <c:pt idx="69">
                  <c:v>276</c:v>
                </c:pt>
                <c:pt idx="70">
                  <c:v>280</c:v>
                </c:pt>
                <c:pt idx="71">
                  <c:v>284</c:v>
                </c:pt>
                <c:pt idx="72">
                  <c:v>288</c:v>
                </c:pt>
                <c:pt idx="73">
                  <c:v>292</c:v>
                </c:pt>
                <c:pt idx="74">
                  <c:v>296</c:v>
                </c:pt>
                <c:pt idx="75">
                  <c:v>300</c:v>
                </c:pt>
                <c:pt idx="76">
                  <c:v>304</c:v>
                </c:pt>
                <c:pt idx="77">
                  <c:v>308</c:v>
                </c:pt>
                <c:pt idx="78">
                  <c:v>312</c:v>
                </c:pt>
                <c:pt idx="79">
                  <c:v>316</c:v>
                </c:pt>
                <c:pt idx="80">
                  <c:v>320</c:v>
                </c:pt>
                <c:pt idx="81">
                  <c:v>324</c:v>
                </c:pt>
                <c:pt idx="82">
                  <c:v>328</c:v>
                </c:pt>
                <c:pt idx="83">
                  <c:v>332</c:v>
                </c:pt>
                <c:pt idx="84">
                  <c:v>336</c:v>
                </c:pt>
                <c:pt idx="85">
                  <c:v>340</c:v>
                </c:pt>
                <c:pt idx="86">
                  <c:v>344</c:v>
                </c:pt>
                <c:pt idx="87">
                  <c:v>348</c:v>
                </c:pt>
                <c:pt idx="88">
                  <c:v>352</c:v>
                </c:pt>
                <c:pt idx="89">
                  <c:v>356</c:v>
                </c:pt>
                <c:pt idx="90">
                  <c:v>360</c:v>
                </c:pt>
                <c:pt idx="91">
                  <c:v>364</c:v>
                </c:pt>
                <c:pt idx="92">
                  <c:v>368</c:v>
                </c:pt>
                <c:pt idx="93">
                  <c:v>372</c:v>
                </c:pt>
                <c:pt idx="94">
                  <c:v>376</c:v>
                </c:pt>
                <c:pt idx="95">
                  <c:v>380</c:v>
                </c:pt>
                <c:pt idx="96">
                  <c:v>384</c:v>
                </c:pt>
                <c:pt idx="97">
                  <c:v>388</c:v>
                </c:pt>
                <c:pt idx="98">
                  <c:v>392</c:v>
                </c:pt>
                <c:pt idx="99">
                  <c:v>396</c:v>
                </c:pt>
                <c:pt idx="100">
                  <c:v>400</c:v>
                </c:pt>
                <c:pt idx="101">
                  <c:v>404</c:v>
                </c:pt>
                <c:pt idx="102">
                  <c:v>408</c:v>
                </c:pt>
                <c:pt idx="103">
                  <c:v>412</c:v>
                </c:pt>
                <c:pt idx="104">
                  <c:v>416</c:v>
                </c:pt>
                <c:pt idx="105">
                  <c:v>420</c:v>
                </c:pt>
                <c:pt idx="106">
                  <c:v>424</c:v>
                </c:pt>
                <c:pt idx="107">
                  <c:v>428</c:v>
                </c:pt>
                <c:pt idx="108">
                  <c:v>432</c:v>
                </c:pt>
                <c:pt idx="109">
                  <c:v>436</c:v>
                </c:pt>
                <c:pt idx="110">
                  <c:v>440</c:v>
                </c:pt>
                <c:pt idx="111">
                  <c:v>444</c:v>
                </c:pt>
                <c:pt idx="112">
                  <c:v>448</c:v>
                </c:pt>
                <c:pt idx="113">
                  <c:v>452</c:v>
                </c:pt>
                <c:pt idx="114">
                  <c:v>456</c:v>
                </c:pt>
                <c:pt idx="115">
                  <c:v>460</c:v>
                </c:pt>
                <c:pt idx="116">
                  <c:v>464</c:v>
                </c:pt>
                <c:pt idx="117">
                  <c:v>468</c:v>
                </c:pt>
                <c:pt idx="118">
                  <c:v>472</c:v>
                </c:pt>
                <c:pt idx="119">
                  <c:v>476</c:v>
                </c:pt>
                <c:pt idx="120">
                  <c:v>480</c:v>
                </c:pt>
                <c:pt idx="121">
                  <c:v>484</c:v>
                </c:pt>
                <c:pt idx="122">
                  <c:v>488</c:v>
                </c:pt>
                <c:pt idx="123">
                  <c:v>492</c:v>
                </c:pt>
                <c:pt idx="124">
                  <c:v>496</c:v>
                </c:pt>
                <c:pt idx="125">
                  <c:v>500</c:v>
                </c:pt>
                <c:pt idx="126">
                  <c:v>504</c:v>
                </c:pt>
                <c:pt idx="127">
                  <c:v>508</c:v>
                </c:pt>
                <c:pt idx="128">
                  <c:v>512</c:v>
                </c:pt>
                <c:pt idx="129">
                  <c:v>516</c:v>
                </c:pt>
                <c:pt idx="130">
                  <c:v>520</c:v>
                </c:pt>
                <c:pt idx="131">
                  <c:v>524</c:v>
                </c:pt>
                <c:pt idx="132">
                  <c:v>528</c:v>
                </c:pt>
                <c:pt idx="133">
                  <c:v>532</c:v>
                </c:pt>
                <c:pt idx="134">
                  <c:v>536</c:v>
                </c:pt>
                <c:pt idx="135">
                  <c:v>540</c:v>
                </c:pt>
                <c:pt idx="136">
                  <c:v>544</c:v>
                </c:pt>
                <c:pt idx="137">
                  <c:v>548</c:v>
                </c:pt>
                <c:pt idx="138">
                  <c:v>552</c:v>
                </c:pt>
                <c:pt idx="139">
                  <c:v>556</c:v>
                </c:pt>
                <c:pt idx="140">
                  <c:v>560</c:v>
                </c:pt>
                <c:pt idx="141">
                  <c:v>564</c:v>
                </c:pt>
                <c:pt idx="142">
                  <c:v>568</c:v>
                </c:pt>
                <c:pt idx="143">
                  <c:v>572</c:v>
                </c:pt>
                <c:pt idx="144">
                  <c:v>576</c:v>
                </c:pt>
                <c:pt idx="145">
                  <c:v>580</c:v>
                </c:pt>
                <c:pt idx="146">
                  <c:v>584</c:v>
                </c:pt>
                <c:pt idx="147">
                  <c:v>588</c:v>
                </c:pt>
                <c:pt idx="148">
                  <c:v>592</c:v>
                </c:pt>
                <c:pt idx="149">
                  <c:v>596</c:v>
                </c:pt>
                <c:pt idx="150">
                  <c:v>600</c:v>
                </c:pt>
                <c:pt idx="151">
                  <c:v>604</c:v>
                </c:pt>
                <c:pt idx="152">
                  <c:v>608</c:v>
                </c:pt>
                <c:pt idx="153">
                  <c:v>612</c:v>
                </c:pt>
                <c:pt idx="154">
                  <c:v>616</c:v>
                </c:pt>
                <c:pt idx="155">
                  <c:v>620</c:v>
                </c:pt>
                <c:pt idx="156">
                  <c:v>624</c:v>
                </c:pt>
                <c:pt idx="157">
                  <c:v>628</c:v>
                </c:pt>
                <c:pt idx="158">
                  <c:v>632</c:v>
                </c:pt>
                <c:pt idx="159">
                  <c:v>636</c:v>
                </c:pt>
                <c:pt idx="160">
                  <c:v>640</c:v>
                </c:pt>
                <c:pt idx="161">
                  <c:v>644</c:v>
                </c:pt>
                <c:pt idx="162">
                  <c:v>648</c:v>
                </c:pt>
                <c:pt idx="163">
                  <c:v>652</c:v>
                </c:pt>
                <c:pt idx="164">
                  <c:v>656</c:v>
                </c:pt>
                <c:pt idx="165">
                  <c:v>660</c:v>
                </c:pt>
                <c:pt idx="166">
                  <c:v>664</c:v>
                </c:pt>
                <c:pt idx="167">
                  <c:v>668</c:v>
                </c:pt>
                <c:pt idx="168">
                  <c:v>672</c:v>
                </c:pt>
                <c:pt idx="169">
                  <c:v>676</c:v>
                </c:pt>
                <c:pt idx="170">
                  <c:v>680</c:v>
                </c:pt>
                <c:pt idx="171">
                  <c:v>684</c:v>
                </c:pt>
                <c:pt idx="172">
                  <c:v>688</c:v>
                </c:pt>
                <c:pt idx="173">
                  <c:v>692</c:v>
                </c:pt>
                <c:pt idx="174">
                  <c:v>696</c:v>
                </c:pt>
                <c:pt idx="175">
                  <c:v>700</c:v>
                </c:pt>
                <c:pt idx="176">
                  <c:v>704</c:v>
                </c:pt>
                <c:pt idx="177">
                  <c:v>708</c:v>
                </c:pt>
                <c:pt idx="178">
                  <c:v>712</c:v>
                </c:pt>
                <c:pt idx="179">
                  <c:v>716</c:v>
                </c:pt>
                <c:pt idx="180">
                  <c:v>720</c:v>
                </c:pt>
              </c:numCache>
            </c:numRef>
          </c:xVal>
          <c:yVal>
            <c:numRef>
              <c:f>Angulo!$D$5:$D$185</c:f>
              <c:numCache>
                <c:formatCode>0.00</c:formatCode>
                <c:ptCount val="181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79</c:v>
                </c:pt>
                <c:pt idx="4">
                  <c:v>79</c:v>
                </c:pt>
                <c:pt idx="5">
                  <c:v>79</c:v>
                </c:pt>
                <c:pt idx="6">
                  <c:v>79</c:v>
                </c:pt>
                <c:pt idx="7">
                  <c:v>79</c:v>
                </c:pt>
                <c:pt idx="8">
                  <c:v>79</c:v>
                </c:pt>
                <c:pt idx="9">
                  <c:v>79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79</c:v>
                </c:pt>
                <c:pt idx="14">
                  <c:v>79</c:v>
                </c:pt>
                <c:pt idx="15">
                  <c:v>79</c:v>
                </c:pt>
                <c:pt idx="16">
                  <c:v>79</c:v>
                </c:pt>
                <c:pt idx="17">
                  <c:v>79</c:v>
                </c:pt>
                <c:pt idx="18">
                  <c:v>79</c:v>
                </c:pt>
                <c:pt idx="19">
                  <c:v>79</c:v>
                </c:pt>
                <c:pt idx="20">
                  <c:v>79</c:v>
                </c:pt>
                <c:pt idx="21">
                  <c:v>79</c:v>
                </c:pt>
                <c:pt idx="22">
                  <c:v>79</c:v>
                </c:pt>
                <c:pt idx="23">
                  <c:v>79</c:v>
                </c:pt>
                <c:pt idx="24">
                  <c:v>79</c:v>
                </c:pt>
                <c:pt idx="25">
                  <c:v>79</c:v>
                </c:pt>
                <c:pt idx="26">
                  <c:v>79</c:v>
                </c:pt>
                <c:pt idx="27">
                  <c:v>79</c:v>
                </c:pt>
                <c:pt idx="28">
                  <c:v>79</c:v>
                </c:pt>
                <c:pt idx="29">
                  <c:v>79</c:v>
                </c:pt>
                <c:pt idx="30">
                  <c:v>79</c:v>
                </c:pt>
                <c:pt idx="31">
                  <c:v>79</c:v>
                </c:pt>
                <c:pt idx="32">
                  <c:v>79</c:v>
                </c:pt>
                <c:pt idx="33">
                  <c:v>79</c:v>
                </c:pt>
                <c:pt idx="34">
                  <c:v>79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  <c:pt idx="43">
                  <c:v>79</c:v>
                </c:pt>
                <c:pt idx="44">
                  <c:v>79</c:v>
                </c:pt>
                <c:pt idx="45">
                  <c:v>79</c:v>
                </c:pt>
                <c:pt idx="46">
                  <c:v>79.0890122612579</c:v>
                </c:pt>
                <c:pt idx="47">
                  <c:v>79.3570701090992</c:v>
                </c:pt>
                <c:pt idx="48">
                  <c:v>79.8072582457531</c:v>
                </c:pt>
                <c:pt idx="49">
                  <c:v>80.4447902467206</c:v>
                </c:pt>
                <c:pt idx="50">
                  <c:v>81.2771196693249</c:v>
                </c:pt>
                <c:pt idx="51">
                  <c:v>82.3141007281063</c:v>
                </c:pt>
                <c:pt idx="52">
                  <c:v>83.5682039518656</c:v>
                </c:pt>
                <c:pt idx="53">
                  <c:v>85.0547942201104</c:v>
                </c:pt>
                <c:pt idx="54">
                  <c:v>86.7924809222183</c:v>
                </c:pt>
                <c:pt idx="55">
                  <c:v>88.8035528137713</c:v>
                </c:pt>
                <c:pt idx="56">
                  <c:v>91.1145136137496</c:v>
                </c:pt>
                <c:pt idx="57">
                  <c:v>93.7567386847922</c:v>
                </c:pt>
                <c:pt idx="58">
                  <c:v>96.7672785078154</c:v>
                </c:pt>
                <c:pt idx="59">
                  <c:v>100.189841407147</c:v>
                </c:pt>
                <c:pt idx="60">
                  <c:v>104.075996488555</c:v>
                </c:pt>
                <c:pt idx="61">
                  <c:v>108.486648504917</c:v>
                </c:pt>
                <c:pt idx="62">
                  <c:v>113.493849966307</c:v>
                </c:pt>
                <c:pt idx="63">
                  <c:v>119.183033002467</c:v>
                </c:pt>
                <c:pt idx="64">
                  <c:v>125.655765147615</c:v>
                </c:pt>
                <c:pt idx="65">
                  <c:v>133.033160354878</c:v>
                </c:pt>
                <c:pt idx="66">
                  <c:v>141.460110211162</c:v>
                </c:pt>
                <c:pt idx="67">
                  <c:v>151.110541420089</c:v>
                </c:pt>
                <c:pt idx="68">
                  <c:v>162.193954503192</c:v>
                </c:pt>
                <c:pt idx="69">
                  <c:v>174.963554311912</c:v>
                </c:pt>
                <c:pt idx="70">
                  <c:v>189.726341354933</c:v>
                </c:pt>
                <c:pt idx="71">
                  <c:v>206.85558421184</c:v>
                </c:pt>
                <c:pt idx="72">
                  <c:v>226.806116179091</c:v>
                </c:pt>
                <c:pt idx="73">
                  <c:v>250.132851544109</c:v>
                </c:pt>
                <c:pt idx="74">
                  <c:v>277.512718443666</c:v>
                </c:pt>
                <c:pt idx="75">
                  <c:v>309.769709773152</c:v>
                </c:pt>
                <c:pt idx="76">
                  <c:v>347.901702506689</c:v>
                </c:pt>
                <c:pt idx="77">
                  <c:v>393.105649845923</c:v>
                </c:pt>
                <c:pt idx="78">
                  <c:v>446.794002745185</c:v>
                </c:pt>
                <c:pt idx="79">
                  <c:v>510.588722709683</c:v>
                </c:pt>
                <c:pt idx="80">
                  <c:v>586.268697345204</c:v>
                </c:pt>
                <c:pt idx="81">
                  <c:v>675.630743480897</c:v>
                </c:pt>
                <c:pt idx="82">
                  <c:v>780.204708635025</c:v>
                </c:pt>
                <c:pt idx="83">
                  <c:v>900.746713689206</c:v>
                </c:pt>
                <c:pt idx="84">
                  <c:v>1036.44231215469</c:v>
                </c:pt>
                <c:pt idx="85">
                  <c:v>1183.82599880299</c:v>
                </c:pt>
                <c:pt idx="86">
                  <c:v>1335.62290320863</c:v>
                </c:pt>
                <c:pt idx="87">
                  <c:v>1480.05967900487</c:v>
                </c:pt>
                <c:pt idx="88">
                  <c:v>1601.52004701505</c:v>
                </c:pt>
                <c:pt idx="89">
                  <c:v>1683.30548968975</c:v>
                </c:pt>
                <c:pt idx="90">
                  <c:v>1712.24775123457</c:v>
                </c:pt>
                <c:pt idx="91">
                  <c:v>7524.37994465121</c:v>
                </c:pt>
                <c:pt idx="92">
                  <c:v>7158.79880183721</c:v>
                </c:pt>
                <c:pt idx="93">
                  <c:v>6615.87063893184</c:v>
                </c:pt>
                <c:pt idx="94">
                  <c:v>5970.23787308633</c:v>
                </c:pt>
                <c:pt idx="95">
                  <c:v>5291.70531309305</c:v>
                </c:pt>
                <c:pt idx="96">
                  <c:v>4632.89984802584</c:v>
                </c:pt>
                <c:pt idx="97">
                  <c:v>4026.34016772722</c:v>
                </c:pt>
                <c:pt idx="98">
                  <c:v>3487.51708963882</c:v>
                </c:pt>
                <c:pt idx="99">
                  <c:v>3020.07119169702</c:v>
                </c:pt>
                <c:pt idx="100">
                  <c:v>2620.62261158199</c:v>
                </c:pt>
                <c:pt idx="101">
                  <c:v>2282.332926883</c:v>
                </c:pt>
                <c:pt idx="102">
                  <c:v>1997.17036167092</c:v>
                </c:pt>
                <c:pt idx="103">
                  <c:v>1757.18328369197</c:v>
                </c:pt>
                <c:pt idx="104">
                  <c:v>1555.12152077269</c:v>
                </c:pt>
                <c:pt idx="105">
                  <c:v>1384.67141345041</c:v>
                </c:pt>
                <c:pt idx="106">
                  <c:v>1240.48257778095</c:v>
                </c:pt>
                <c:pt idx="107">
                  <c:v>1118.09450107824</c:v>
                </c:pt>
                <c:pt idx="108">
                  <c:v>1013.82393294323</c:v>
                </c:pt>
                <c:pt idx="109">
                  <c:v>924.645002832824</c:v>
                </c:pt>
                <c:pt idx="110">
                  <c:v>848.077242429851</c:v>
                </c:pt>
                <c:pt idx="111">
                  <c:v>782.087545708704</c:v>
                </c:pt>
                <c:pt idx="112">
                  <c:v>725.00740114168</c:v>
                </c:pt>
                <c:pt idx="113">
                  <c:v>675.464515651448</c:v>
                </c:pt>
                <c:pt idx="114">
                  <c:v>632.327062889341</c:v>
                </c:pt>
                <c:pt idx="115">
                  <c:v>594.65857497578</c:v>
                </c:pt>
                <c:pt idx="116">
                  <c:v>561.681599090361</c:v>
                </c:pt>
                <c:pt idx="117">
                  <c:v>532.74846946038</c:v>
                </c:pt>
                <c:pt idx="118">
                  <c:v>507.317806398371</c:v>
                </c:pt>
                <c:pt idx="119">
                  <c:v>484.935602760542</c:v>
                </c:pt>
                <c:pt idx="120">
                  <c:v>465.219976703344</c:v>
                </c:pt>
                <c:pt idx="121">
                  <c:v>447.848853318162</c:v>
                </c:pt>
                <c:pt idx="122">
                  <c:v>432.549988200232</c:v>
                </c:pt>
                <c:pt idx="123">
                  <c:v>419.092867311792</c:v>
                </c:pt>
                <c:pt idx="124">
                  <c:v>407.2821143287</c:v>
                </c:pt>
                <c:pt idx="125">
                  <c:v>396.952113504288</c:v>
                </c:pt>
                <c:pt idx="126">
                  <c:v>387.962616885441</c:v>
                </c:pt>
                <c:pt idx="127">
                  <c:v>380.195152778948</c:v>
                </c:pt>
                <c:pt idx="128">
                  <c:v>373.550090389021</c:v>
                </c:pt>
                <c:pt idx="129">
                  <c:v>367.944245696436</c:v>
                </c:pt>
                <c:pt idx="130">
                  <c:v>363.308937649578</c:v>
                </c:pt>
                <c:pt idx="131">
                  <c:v>359.58842295207</c:v>
                </c:pt>
                <c:pt idx="132">
                  <c:v>356.738653239124</c:v>
                </c:pt>
                <c:pt idx="133">
                  <c:v>354.726311089998</c:v>
                </c:pt>
                <c:pt idx="134">
                  <c:v>353.528091808556</c:v>
                </c:pt>
                <c:pt idx="135">
                  <c:v>353.13020676776</c:v>
                </c:pt>
                <c:pt idx="136">
                  <c:v>79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79</c:v>
                </c:pt>
                <c:pt idx="143">
                  <c:v>79</c:v>
                </c:pt>
                <c:pt idx="144">
                  <c:v>79</c:v>
                </c:pt>
                <c:pt idx="145">
                  <c:v>79</c:v>
                </c:pt>
                <c:pt idx="146">
                  <c:v>79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79</c:v>
                </c:pt>
                <c:pt idx="151">
                  <c:v>79</c:v>
                </c:pt>
                <c:pt idx="152">
                  <c:v>79</c:v>
                </c:pt>
                <c:pt idx="153">
                  <c:v>79</c:v>
                </c:pt>
                <c:pt idx="154">
                  <c:v>79</c:v>
                </c:pt>
                <c:pt idx="155">
                  <c:v>79</c:v>
                </c:pt>
                <c:pt idx="156">
                  <c:v>79</c:v>
                </c:pt>
                <c:pt idx="157">
                  <c:v>79</c:v>
                </c:pt>
                <c:pt idx="158">
                  <c:v>79</c:v>
                </c:pt>
                <c:pt idx="159">
                  <c:v>79</c:v>
                </c:pt>
                <c:pt idx="160">
                  <c:v>79</c:v>
                </c:pt>
                <c:pt idx="161">
                  <c:v>79</c:v>
                </c:pt>
                <c:pt idx="162">
                  <c:v>79</c:v>
                </c:pt>
                <c:pt idx="163">
                  <c:v>79</c:v>
                </c:pt>
                <c:pt idx="164">
                  <c:v>79</c:v>
                </c:pt>
                <c:pt idx="165">
                  <c:v>79</c:v>
                </c:pt>
                <c:pt idx="166">
                  <c:v>79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79</c:v>
                </c:pt>
                <c:pt idx="171">
                  <c:v>79</c:v>
                </c:pt>
                <c:pt idx="172">
                  <c:v>79</c:v>
                </c:pt>
                <c:pt idx="173">
                  <c:v>79</c:v>
                </c:pt>
                <c:pt idx="174">
                  <c:v>79</c:v>
                </c:pt>
                <c:pt idx="175">
                  <c:v>79</c:v>
                </c:pt>
                <c:pt idx="176">
                  <c:v>79</c:v>
                </c:pt>
                <c:pt idx="177">
                  <c:v>79</c:v>
                </c:pt>
                <c:pt idx="178">
                  <c:v>79</c:v>
                </c:pt>
                <c:pt idx="179">
                  <c:v>79</c:v>
                </c:pt>
                <c:pt idx="180">
                  <c:v>79</c:v>
                </c:pt>
              </c:numCache>
            </c:numRef>
          </c:yVal>
          <c:smooth val="1"/>
        </c:ser>
        <c:axId val="7809899"/>
        <c:axId val="49134503"/>
      </c:scatterChart>
      <c:valAx>
        <c:axId val="78098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34503"/>
        <c:crosses val="autoZero"/>
        <c:crossBetween val="midCat"/>
      </c:valAx>
      <c:valAx>
        <c:axId val="49134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989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Temperatura del gas vs. ángulo del cigüeñal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 (K)"</c:f>
              <c:strCache>
                <c:ptCount val="1"/>
                <c:pt idx="0">
                  <c:v>T (K)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Angulo!$A$5:$A$185</c:f>
              <c:numCache>
                <c:formatCode>0</c:formatCode>
                <c:ptCount val="18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  <c:pt idx="49">
                  <c:v>196</c:v>
                </c:pt>
                <c:pt idx="50">
                  <c:v>200</c:v>
                </c:pt>
                <c:pt idx="51">
                  <c:v>204</c:v>
                </c:pt>
                <c:pt idx="52">
                  <c:v>208</c:v>
                </c:pt>
                <c:pt idx="53">
                  <c:v>212</c:v>
                </c:pt>
                <c:pt idx="54">
                  <c:v>216</c:v>
                </c:pt>
                <c:pt idx="55">
                  <c:v>220</c:v>
                </c:pt>
                <c:pt idx="56">
                  <c:v>224</c:v>
                </c:pt>
                <c:pt idx="57">
                  <c:v>228</c:v>
                </c:pt>
                <c:pt idx="58">
                  <c:v>232</c:v>
                </c:pt>
                <c:pt idx="59">
                  <c:v>236</c:v>
                </c:pt>
                <c:pt idx="60">
                  <c:v>240</c:v>
                </c:pt>
                <c:pt idx="61">
                  <c:v>244</c:v>
                </c:pt>
                <c:pt idx="62">
                  <c:v>248</c:v>
                </c:pt>
                <c:pt idx="63">
                  <c:v>252</c:v>
                </c:pt>
                <c:pt idx="64">
                  <c:v>256</c:v>
                </c:pt>
                <c:pt idx="65">
                  <c:v>260</c:v>
                </c:pt>
                <c:pt idx="66">
                  <c:v>264</c:v>
                </c:pt>
                <c:pt idx="67">
                  <c:v>268</c:v>
                </c:pt>
                <c:pt idx="68">
                  <c:v>272</c:v>
                </c:pt>
                <c:pt idx="69">
                  <c:v>276</c:v>
                </c:pt>
                <c:pt idx="70">
                  <c:v>280</c:v>
                </c:pt>
                <c:pt idx="71">
                  <c:v>284</c:v>
                </c:pt>
                <c:pt idx="72">
                  <c:v>288</c:v>
                </c:pt>
                <c:pt idx="73">
                  <c:v>292</c:v>
                </c:pt>
                <c:pt idx="74">
                  <c:v>296</c:v>
                </c:pt>
                <c:pt idx="75">
                  <c:v>300</c:v>
                </c:pt>
                <c:pt idx="76">
                  <c:v>304</c:v>
                </c:pt>
                <c:pt idx="77">
                  <c:v>308</c:v>
                </c:pt>
                <c:pt idx="78">
                  <c:v>312</c:v>
                </c:pt>
                <c:pt idx="79">
                  <c:v>316</c:v>
                </c:pt>
                <c:pt idx="80">
                  <c:v>320</c:v>
                </c:pt>
                <c:pt idx="81">
                  <c:v>324</c:v>
                </c:pt>
                <c:pt idx="82">
                  <c:v>328</c:v>
                </c:pt>
                <c:pt idx="83">
                  <c:v>332</c:v>
                </c:pt>
                <c:pt idx="84">
                  <c:v>336</c:v>
                </c:pt>
                <c:pt idx="85">
                  <c:v>340</c:v>
                </c:pt>
                <c:pt idx="86">
                  <c:v>344</c:v>
                </c:pt>
                <c:pt idx="87">
                  <c:v>348</c:v>
                </c:pt>
                <c:pt idx="88">
                  <c:v>352</c:v>
                </c:pt>
                <c:pt idx="89">
                  <c:v>356</c:v>
                </c:pt>
                <c:pt idx="90">
                  <c:v>360</c:v>
                </c:pt>
                <c:pt idx="91">
                  <c:v>364</c:v>
                </c:pt>
                <c:pt idx="92">
                  <c:v>368</c:v>
                </c:pt>
                <c:pt idx="93">
                  <c:v>372</c:v>
                </c:pt>
                <c:pt idx="94">
                  <c:v>376</c:v>
                </c:pt>
                <c:pt idx="95">
                  <c:v>380</c:v>
                </c:pt>
                <c:pt idx="96">
                  <c:v>384</c:v>
                </c:pt>
                <c:pt idx="97">
                  <c:v>388</c:v>
                </c:pt>
                <c:pt idx="98">
                  <c:v>392</c:v>
                </c:pt>
                <c:pt idx="99">
                  <c:v>396</c:v>
                </c:pt>
                <c:pt idx="100">
                  <c:v>400</c:v>
                </c:pt>
                <c:pt idx="101">
                  <c:v>404</c:v>
                </c:pt>
                <c:pt idx="102">
                  <c:v>408</c:v>
                </c:pt>
                <c:pt idx="103">
                  <c:v>412</c:v>
                </c:pt>
                <c:pt idx="104">
                  <c:v>416</c:v>
                </c:pt>
                <c:pt idx="105">
                  <c:v>420</c:v>
                </c:pt>
                <c:pt idx="106">
                  <c:v>424</c:v>
                </c:pt>
                <c:pt idx="107">
                  <c:v>428</c:v>
                </c:pt>
                <c:pt idx="108">
                  <c:v>432</c:v>
                </c:pt>
                <c:pt idx="109">
                  <c:v>436</c:v>
                </c:pt>
                <c:pt idx="110">
                  <c:v>440</c:v>
                </c:pt>
                <c:pt idx="111">
                  <c:v>444</c:v>
                </c:pt>
                <c:pt idx="112">
                  <c:v>448</c:v>
                </c:pt>
                <c:pt idx="113">
                  <c:v>452</c:v>
                </c:pt>
                <c:pt idx="114">
                  <c:v>456</c:v>
                </c:pt>
                <c:pt idx="115">
                  <c:v>460</c:v>
                </c:pt>
                <c:pt idx="116">
                  <c:v>464</c:v>
                </c:pt>
                <c:pt idx="117">
                  <c:v>468</c:v>
                </c:pt>
                <c:pt idx="118">
                  <c:v>472</c:v>
                </c:pt>
                <c:pt idx="119">
                  <c:v>476</c:v>
                </c:pt>
                <c:pt idx="120">
                  <c:v>480</c:v>
                </c:pt>
                <c:pt idx="121">
                  <c:v>484</c:v>
                </c:pt>
                <c:pt idx="122">
                  <c:v>488</c:v>
                </c:pt>
                <c:pt idx="123">
                  <c:v>492</c:v>
                </c:pt>
                <c:pt idx="124">
                  <c:v>496</c:v>
                </c:pt>
                <c:pt idx="125">
                  <c:v>500</c:v>
                </c:pt>
                <c:pt idx="126">
                  <c:v>504</c:v>
                </c:pt>
                <c:pt idx="127">
                  <c:v>508</c:v>
                </c:pt>
                <c:pt idx="128">
                  <c:v>512</c:v>
                </c:pt>
                <c:pt idx="129">
                  <c:v>516</c:v>
                </c:pt>
                <c:pt idx="130">
                  <c:v>520</c:v>
                </c:pt>
                <c:pt idx="131">
                  <c:v>524</c:v>
                </c:pt>
                <c:pt idx="132">
                  <c:v>528</c:v>
                </c:pt>
                <c:pt idx="133">
                  <c:v>532</c:v>
                </c:pt>
                <c:pt idx="134">
                  <c:v>536</c:v>
                </c:pt>
                <c:pt idx="135">
                  <c:v>540</c:v>
                </c:pt>
                <c:pt idx="136">
                  <c:v>544</c:v>
                </c:pt>
                <c:pt idx="137">
                  <c:v>548</c:v>
                </c:pt>
                <c:pt idx="138">
                  <c:v>552</c:v>
                </c:pt>
                <c:pt idx="139">
                  <c:v>556</c:v>
                </c:pt>
                <c:pt idx="140">
                  <c:v>560</c:v>
                </c:pt>
                <c:pt idx="141">
                  <c:v>564</c:v>
                </c:pt>
                <c:pt idx="142">
                  <c:v>568</c:v>
                </c:pt>
                <c:pt idx="143">
                  <c:v>572</c:v>
                </c:pt>
                <c:pt idx="144">
                  <c:v>576</c:v>
                </c:pt>
                <c:pt idx="145">
                  <c:v>580</c:v>
                </c:pt>
                <c:pt idx="146">
                  <c:v>584</c:v>
                </c:pt>
                <c:pt idx="147">
                  <c:v>588</c:v>
                </c:pt>
                <c:pt idx="148">
                  <c:v>592</c:v>
                </c:pt>
                <c:pt idx="149">
                  <c:v>596</c:v>
                </c:pt>
                <c:pt idx="150">
                  <c:v>600</c:v>
                </c:pt>
                <c:pt idx="151">
                  <c:v>604</c:v>
                </c:pt>
                <c:pt idx="152">
                  <c:v>608</c:v>
                </c:pt>
                <c:pt idx="153">
                  <c:v>612</c:v>
                </c:pt>
                <c:pt idx="154">
                  <c:v>616</c:v>
                </c:pt>
                <c:pt idx="155">
                  <c:v>620</c:v>
                </c:pt>
                <c:pt idx="156">
                  <c:v>624</c:v>
                </c:pt>
                <c:pt idx="157">
                  <c:v>628</c:v>
                </c:pt>
                <c:pt idx="158">
                  <c:v>632</c:v>
                </c:pt>
                <c:pt idx="159">
                  <c:v>636</c:v>
                </c:pt>
                <c:pt idx="160">
                  <c:v>640</c:v>
                </c:pt>
                <c:pt idx="161">
                  <c:v>644</c:v>
                </c:pt>
                <c:pt idx="162">
                  <c:v>648</c:v>
                </c:pt>
                <c:pt idx="163">
                  <c:v>652</c:v>
                </c:pt>
                <c:pt idx="164">
                  <c:v>656</c:v>
                </c:pt>
                <c:pt idx="165">
                  <c:v>660</c:v>
                </c:pt>
                <c:pt idx="166">
                  <c:v>664</c:v>
                </c:pt>
                <c:pt idx="167">
                  <c:v>668</c:v>
                </c:pt>
                <c:pt idx="168">
                  <c:v>672</c:v>
                </c:pt>
                <c:pt idx="169">
                  <c:v>676</c:v>
                </c:pt>
                <c:pt idx="170">
                  <c:v>680</c:v>
                </c:pt>
                <c:pt idx="171">
                  <c:v>684</c:v>
                </c:pt>
                <c:pt idx="172">
                  <c:v>688</c:v>
                </c:pt>
                <c:pt idx="173">
                  <c:v>692</c:v>
                </c:pt>
                <c:pt idx="174">
                  <c:v>696</c:v>
                </c:pt>
                <c:pt idx="175">
                  <c:v>700</c:v>
                </c:pt>
                <c:pt idx="176">
                  <c:v>704</c:v>
                </c:pt>
                <c:pt idx="177">
                  <c:v>708</c:v>
                </c:pt>
                <c:pt idx="178">
                  <c:v>712</c:v>
                </c:pt>
                <c:pt idx="179">
                  <c:v>716</c:v>
                </c:pt>
                <c:pt idx="180">
                  <c:v>720</c:v>
                </c:pt>
              </c:numCache>
            </c:numRef>
          </c:xVal>
          <c:yVal>
            <c:numRef>
              <c:f>Angulo!$E$5:$E$185</c:f>
              <c:numCache>
                <c:formatCode>0.00</c:formatCode>
                <c:ptCount val="18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300.096538660267</c:v>
                </c:pt>
                <c:pt idx="47">
                  <c:v>300.386794064429</c:v>
                </c:pt>
                <c:pt idx="48">
                  <c:v>300.872689997943</c:v>
                </c:pt>
                <c:pt idx="49">
                  <c:v>301.557451209692</c:v>
                </c:pt>
                <c:pt idx="50">
                  <c:v>302.445631267251</c:v>
                </c:pt>
                <c:pt idx="51">
                  <c:v>303.543151953611</c:v>
                </c:pt>
                <c:pt idx="52">
                  <c:v>304.857354623887</c:v>
                </c:pt>
                <c:pt idx="53">
                  <c:v>306.397064087636</c:v>
                </c:pt>
                <c:pt idx="54">
                  <c:v>308.172665749823</c:v>
                </c:pt>
                <c:pt idx="55">
                  <c:v>310.196196935243</c:v>
                </c:pt>
                <c:pt idx="56">
                  <c:v>312.481453539486</c:v>
                </c:pt>
                <c:pt idx="57">
                  <c:v>315.044113394644</c:v>
                </c:pt>
                <c:pt idx="58">
                  <c:v>317.901878005595</c:v>
                </c:pt>
                <c:pt idx="59">
                  <c:v>321.074634592245</c:v>
                </c:pt>
                <c:pt idx="60">
                  <c:v>324.584640643731</c:v>
                </c:pt>
                <c:pt idx="61">
                  <c:v>328.456733415955</c:v>
                </c:pt>
                <c:pt idx="62">
                  <c:v>332.718566925086</c:v>
                </c:pt>
                <c:pt idx="63">
                  <c:v>337.400878914136</c:v>
                </c:pt>
                <c:pt idx="64">
                  <c:v>342.537789855214</c:v>
                </c:pt>
                <c:pt idx="65">
                  <c:v>348.167135080629</c:v>
                </c:pt>
                <c:pt idx="66">
                  <c:v>354.330829286383</c:v>
                </c:pt>
                <c:pt idx="67">
                  <c:v>361.075259432175</c:v>
                </c:pt>
                <c:pt idx="68">
                  <c:v>368.451696737629</c:v>
                </c:pt>
                <c:pt idx="69">
                  <c:v>376.516709940927</c:v>
                </c:pt>
                <c:pt idx="70">
                  <c:v>385.332548588004</c:v>
                </c:pt>
                <c:pt idx="71">
                  <c:v>394.967444386487</c:v>
                </c:pt>
                <c:pt idx="72">
                  <c:v>405.495746924603</c:v>
                </c:pt>
                <c:pt idx="73">
                  <c:v>416.997761958225</c:v>
                </c:pt>
                <c:pt idx="74">
                  <c:v>429.559088318813</c:v>
                </c:pt>
                <c:pt idx="75">
                  <c:v>443.269142633596</c:v>
                </c:pt>
                <c:pt idx="76">
                  <c:v>458.21840555339</c:v>
                </c:pt>
                <c:pt idx="77">
                  <c:v>474.493702819482</c:v>
                </c:pt>
                <c:pt idx="78">
                  <c:v>492.170535033965</c:v>
                </c:pt>
                <c:pt idx="79">
                  <c:v>511.301091223805</c:v>
                </c:pt>
                <c:pt idx="80">
                  <c:v>531.896165028319</c:v>
                </c:pt>
                <c:pt idx="81">
                  <c:v>553.898879625961</c:v>
                </c:pt>
                <c:pt idx="82">
                  <c:v>577.148259950597</c:v>
                </c:pt>
                <c:pt idx="83">
                  <c:v>601.331953394244</c:v>
                </c:pt>
                <c:pt idx="84">
                  <c:v>625.930926306371</c:v>
                </c:pt>
                <c:pt idx="85">
                  <c:v>650.166120903683</c:v>
                </c:pt>
                <c:pt idx="86">
                  <c:v>672.968314223438</c:v>
                </c:pt>
                <c:pt idx="87">
                  <c:v>693.004653265528</c:v>
                </c:pt>
                <c:pt idx="88">
                  <c:v>708.798460474223</c:v>
                </c:pt>
                <c:pt idx="89">
                  <c:v>718.957015252054</c:v>
                </c:pt>
                <c:pt idx="90">
                  <c:v>722.467405584208</c:v>
                </c:pt>
                <c:pt idx="91">
                  <c:v>3213.73973991252</c:v>
                </c:pt>
                <c:pt idx="92">
                  <c:v>3168.3309734675</c:v>
                </c:pt>
                <c:pt idx="93">
                  <c:v>3097.73261390729</c:v>
                </c:pt>
                <c:pt idx="94">
                  <c:v>3008.17012594777</c:v>
                </c:pt>
                <c:pt idx="95">
                  <c:v>2906.24426212798</c:v>
                </c:pt>
                <c:pt idx="96">
                  <c:v>2797.91287884689</c:v>
                </c:pt>
                <c:pt idx="97">
                  <c:v>2687.95540554646</c:v>
                </c:pt>
                <c:pt idx="98">
                  <c:v>2579.85423255706</c:v>
                </c:pt>
                <c:pt idx="99">
                  <c:v>2475.92944165501</c:v>
                </c:pt>
                <c:pt idx="100">
                  <c:v>2377.57724981556</c:v>
                </c:pt>
                <c:pt idx="101">
                  <c:v>2285.51721600562</c:v>
                </c:pt>
                <c:pt idx="102">
                  <c:v>2200.00357976637</c:v>
                </c:pt>
                <c:pt idx="103">
                  <c:v>2120.98809350182</c:v>
                </c:pt>
                <c:pt idx="104">
                  <c:v>2048.23747212483</c:v>
                </c:pt>
                <c:pt idx="105">
                  <c:v>1981.41422774645</c:v>
                </c:pt>
                <c:pt idx="106">
                  <c:v>1920.13024907586</c:v>
                </c:pt>
                <c:pt idx="107">
                  <c:v>1863.9810873671</c:v>
                </c:pt>
                <c:pt idx="108">
                  <c:v>1812.56705006243</c:v>
                </c:pt>
                <c:pt idx="109">
                  <c:v>1765.50551016119</c:v>
                </c:pt>
                <c:pt idx="110">
                  <c:v>1722.43750072443</c:v>
                </c:pt>
                <c:pt idx="111">
                  <c:v>1683.03067889818</c:v>
                </c:pt>
                <c:pt idx="112">
                  <c:v>1646.98004877077</c:v>
                </c:pt>
                <c:pt idx="113">
                  <c:v>1614.00735470894</c:v>
                </c:pt>
                <c:pt idx="114">
                  <c:v>1583.85973430497</c:v>
                </c:pt>
                <c:pt idx="115">
                  <c:v>1556.30800507292</c:v>
                </c:pt>
                <c:pt idx="116">
                  <c:v>1531.14481718156</c:v>
                </c:pt>
                <c:pt idx="117">
                  <c:v>1508.18281183004</c:v>
                </c:pt>
                <c:pt idx="118">
                  <c:v>1487.2528649839</c:v>
                </c:pt>
                <c:pt idx="119">
                  <c:v>1468.20245804354</c:v>
                </c:pt>
                <c:pt idx="120">
                  <c:v>1450.89419321721</c:v>
                </c:pt>
                <c:pt idx="121">
                  <c:v>1435.20445698029</c:v>
                </c:pt>
                <c:pt idx="122">
                  <c:v>1421.02222673386</c:v>
                </c:pt>
                <c:pt idx="123">
                  <c:v>1408.24801144325</c:v>
                </c:pt>
                <c:pt idx="124">
                  <c:v>1396.7929151834</c:v>
                </c:pt>
                <c:pt idx="125">
                  <c:v>1386.5778121812</c:v>
                </c:pt>
                <c:pt idx="126">
                  <c:v>1377.53262248616</c:v>
                </c:pt>
                <c:pt idx="127">
                  <c:v>1369.59567840888</c:v>
                </c:pt>
                <c:pt idx="128">
                  <c:v>1362.71317307602</c:v>
                </c:pt>
                <c:pt idx="129">
                  <c:v>1356.83868370021</c:v>
                </c:pt>
                <c:pt idx="130">
                  <c:v>1351.93276335962</c:v>
                </c:pt>
                <c:pt idx="131">
                  <c:v>1347.96259617769</c:v>
                </c:pt>
                <c:pt idx="132">
                  <c:v>1344.90171176893</c:v>
                </c:pt>
                <c:pt idx="133">
                  <c:v>1342.72975567439</c:v>
                </c:pt>
                <c:pt idx="134">
                  <c:v>1341.43231325809</c:v>
                </c:pt>
                <c:pt idx="135">
                  <c:v>1341.00078519403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</c:numCache>
            </c:numRef>
          </c:yVal>
          <c:smooth val="1"/>
        </c:ser>
        <c:axId val="51468350"/>
        <c:axId val="88505068"/>
      </c:scatterChart>
      <c:valAx>
        <c:axId val="514683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05068"/>
        <c:crosses val="autoZero"/>
        <c:crossBetween val="midCat"/>
      </c:valAx>
      <c:valAx>
        <c:axId val="88505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6835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255960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255960</xdr:colOff>
      <xdr:row>16</xdr:row>
      <xdr:rowOff>11520</xdr:rowOff>
    </xdr:to>
    <xdr:graphicFrame>
      <xdr:nvGraphicFramePr>
        <xdr:cNvPr id="1" name="Chart 2"/>
        <xdr:cNvGraphicFramePr/>
      </xdr:nvGraphicFramePr>
      <xdr:xfrm>
        <a:off x="611496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9</xdr:col>
      <xdr:colOff>255960</xdr:colOff>
      <xdr:row>34</xdr:row>
      <xdr:rowOff>11520</xdr:rowOff>
    </xdr:to>
    <xdr:graphicFrame>
      <xdr:nvGraphicFramePr>
        <xdr:cNvPr id="2" name="Chart 3"/>
        <xdr:cNvGraphicFramePr/>
      </xdr:nvGraphicFramePr>
      <xdr:xfrm>
        <a:off x="0" y="3429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0</xdr:rowOff>
    </xdr:from>
    <xdr:to>
      <xdr:col>19</xdr:col>
      <xdr:colOff>255960</xdr:colOff>
      <xdr:row>34</xdr:row>
      <xdr:rowOff>11520</xdr:rowOff>
    </xdr:to>
    <xdr:graphicFrame>
      <xdr:nvGraphicFramePr>
        <xdr:cNvPr id="3" name="Chart 4"/>
        <xdr:cNvGraphicFramePr/>
      </xdr:nvGraphicFramePr>
      <xdr:xfrm>
        <a:off x="6114960" y="3429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255960</xdr:colOff>
      <xdr:row>52</xdr:row>
      <xdr:rowOff>11520</xdr:rowOff>
    </xdr:to>
    <xdr:graphicFrame>
      <xdr:nvGraphicFramePr>
        <xdr:cNvPr id="4" name="Chart 5"/>
        <xdr:cNvGraphicFramePr/>
      </xdr:nvGraphicFramePr>
      <xdr:xfrm>
        <a:off x="0" y="6858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255960</xdr:colOff>
      <xdr:row>52</xdr:row>
      <xdr:rowOff>11520</xdr:rowOff>
    </xdr:to>
    <xdr:graphicFrame>
      <xdr:nvGraphicFramePr>
        <xdr:cNvPr id="5" name="Chart 6"/>
        <xdr:cNvGraphicFramePr/>
      </xdr:nvGraphicFramePr>
      <xdr:xfrm>
        <a:off x="6114960" y="6858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255960</xdr:colOff>
      <xdr:row>70</xdr:row>
      <xdr:rowOff>11520</xdr:rowOff>
    </xdr:to>
    <xdr:graphicFrame>
      <xdr:nvGraphicFramePr>
        <xdr:cNvPr id="6" name="Chart 7"/>
        <xdr:cNvGraphicFramePr/>
      </xdr:nvGraphicFramePr>
      <xdr:xfrm>
        <a:off x="0" y="10287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6" t="n">
        <v>79</v>
      </c>
      <c r="D6" s="5" t="s">
        <v>10</v>
      </c>
    </row>
    <row r="7" customFormat="false" ht="15" hidden="false" customHeight="false" outlineLevel="0" collapsed="false">
      <c r="A7" s="5" t="s">
        <v>11</v>
      </c>
      <c r="B7" s="5" t="s">
        <v>12</v>
      </c>
      <c r="C7" s="6" t="n">
        <v>300</v>
      </c>
      <c r="D7" s="5" t="s">
        <v>13</v>
      </c>
    </row>
    <row r="8" customFormat="false" ht="15" hidden="false" customHeight="false" outlineLevel="0" collapsed="false">
      <c r="A8" s="5" t="s">
        <v>14</v>
      </c>
      <c r="B8" s="5" t="s">
        <v>15</v>
      </c>
      <c r="C8" s="6" t="n">
        <v>9</v>
      </c>
      <c r="D8" s="5" t="s">
        <v>16</v>
      </c>
    </row>
    <row r="9" customFormat="false" ht="15" hidden="false" customHeight="false" outlineLevel="0" collapsed="false">
      <c r="A9" s="5" t="s">
        <v>17</v>
      </c>
      <c r="B9" s="5" t="s">
        <v>18</v>
      </c>
      <c r="C9" s="6" t="n">
        <v>1800</v>
      </c>
      <c r="D9" s="5" t="s">
        <v>19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6" t="n">
        <v>1.4</v>
      </c>
      <c r="D10" s="5" t="s">
        <v>16</v>
      </c>
    </row>
    <row r="11" customFormat="false" ht="15" hidden="false" customHeight="false" outlineLevel="0" collapsed="false">
      <c r="A11" s="5" t="s">
        <v>22</v>
      </c>
      <c r="B11" s="5" t="s">
        <v>23</v>
      </c>
      <c r="C11" s="6" t="n">
        <v>0.718</v>
      </c>
      <c r="D11" s="5" t="s">
        <v>24</v>
      </c>
    </row>
    <row r="12" customFormat="false" ht="15" hidden="false" customHeight="false" outlineLevel="0" collapsed="false">
      <c r="A12" s="5" t="s">
        <v>25</v>
      </c>
      <c r="B12" s="5" t="s">
        <v>26</v>
      </c>
      <c r="C12" s="6" t="n">
        <v>1.005</v>
      </c>
      <c r="D12" s="5" t="s">
        <v>24</v>
      </c>
    </row>
    <row r="13" customFormat="false" ht="15" hidden="false" customHeight="false" outlineLevel="0" collapsed="false">
      <c r="A13" s="5" t="s">
        <v>27</v>
      </c>
      <c r="B13" s="5" t="s">
        <v>28</v>
      </c>
      <c r="C13" s="6" t="n">
        <v>0.287</v>
      </c>
      <c r="D13" s="5" t="s">
        <v>24</v>
      </c>
    </row>
    <row r="14" customFormat="false" ht="15" hidden="false" customHeight="false" outlineLevel="0" collapsed="false">
      <c r="A14" s="5" t="s">
        <v>29</v>
      </c>
      <c r="B14" s="5" t="s">
        <v>30</v>
      </c>
      <c r="C14" s="6" t="n">
        <v>7.8</v>
      </c>
      <c r="D14" s="5" t="s">
        <v>31</v>
      </c>
    </row>
    <row r="15" customFormat="false" ht="15" hidden="false" customHeight="false" outlineLevel="0" collapsed="false">
      <c r="A15" s="5" t="s">
        <v>32</v>
      </c>
      <c r="B15" s="5" t="s">
        <v>33</v>
      </c>
      <c r="C15" s="6" t="n">
        <v>6.75</v>
      </c>
      <c r="D15" s="5" t="s">
        <v>31</v>
      </c>
    </row>
    <row r="16" customFormat="false" ht="15" hidden="false" customHeight="false" outlineLevel="0" collapsed="false">
      <c r="A16" s="5" t="s">
        <v>34</v>
      </c>
      <c r="B16" s="5" t="s">
        <v>35</v>
      </c>
      <c r="C16" s="6" t="n">
        <v>4</v>
      </c>
      <c r="D16" s="5" t="s">
        <v>16</v>
      </c>
    </row>
    <row r="17" customFormat="false" ht="15" hidden="false" customHeight="false" outlineLevel="0" collapsed="false">
      <c r="A17" s="5" t="s">
        <v>36</v>
      </c>
      <c r="B17" s="5" t="s">
        <v>37</v>
      </c>
      <c r="C17" s="6" t="n">
        <v>13.1</v>
      </c>
      <c r="D17" s="5" t="s">
        <v>31</v>
      </c>
    </row>
    <row r="18" customFormat="false" ht="15" hidden="false" customHeight="false" outlineLevel="0" collapsed="false">
      <c r="A18" s="5" t="s">
        <v>38</v>
      </c>
      <c r="B18" s="5" t="s">
        <v>39</v>
      </c>
      <c r="C18" s="6" t="n">
        <v>3000</v>
      </c>
      <c r="D18" s="5" t="s">
        <v>40</v>
      </c>
    </row>
    <row r="20" customFormat="false" ht="15" hidden="false" customHeight="false" outlineLevel="0" collapsed="false">
      <c r="A20" s="7" t="s">
        <v>41</v>
      </c>
    </row>
    <row r="21" customFormat="false" ht="31.5" hidden="false" customHeight="true" outlineLevel="0" collapsed="false">
      <c r="A21" s="4" t="s">
        <v>42</v>
      </c>
      <c r="B21" s="4" t="s">
        <v>43</v>
      </c>
      <c r="C21" s="4" t="s">
        <v>5</v>
      </c>
      <c r="D21" s="4" t="s">
        <v>6</v>
      </c>
    </row>
    <row r="22" customFormat="false" ht="15" hidden="false" customHeight="false" outlineLevel="0" collapsed="false">
      <c r="A22" s="8" t="s">
        <v>44</v>
      </c>
      <c r="B22" s="5" t="s">
        <v>45</v>
      </c>
      <c r="C22" s="9" t="n">
        <f aca="false">PI()*Otto!$C$14^2/4</f>
        <v>47.7836242611008</v>
      </c>
      <c r="D22" s="5" t="s">
        <v>46</v>
      </c>
    </row>
    <row r="23" customFormat="false" ht="15" hidden="false" customHeight="false" outlineLevel="0" collapsed="false">
      <c r="A23" s="8" t="s">
        <v>47</v>
      </c>
      <c r="B23" s="5" t="s">
        <v>48</v>
      </c>
      <c r="C23" s="9" t="n">
        <f aca="false">Otto!$C$22*Otto!$C$15</f>
        <v>322.53946376243</v>
      </c>
      <c r="D23" s="5" t="s">
        <v>49</v>
      </c>
    </row>
    <row r="24" customFormat="false" ht="15" hidden="false" customHeight="false" outlineLevel="0" collapsed="false">
      <c r="A24" s="8" t="s">
        <v>50</v>
      </c>
      <c r="B24" s="5" t="s">
        <v>51</v>
      </c>
      <c r="C24" s="9" t="n">
        <f aca="false">Otto!$C$23/(Otto!$C$8-1)</f>
        <v>40.3174329703038</v>
      </c>
      <c r="D24" s="5" t="s">
        <v>49</v>
      </c>
    </row>
    <row r="25" customFormat="false" ht="15" hidden="false" customHeight="false" outlineLevel="0" collapsed="false">
      <c r="A25" s="8" t="s">
        <v>52</v>
      </c>
      <c r="B25" s="5" t="s">
        <v>53</v>
      </c>
      <c r="C25" s="9" t="n">
        <f aca="false">Otto!$C$23+Otto!$C$24</f>
        <v>362.856896732734</v>
      </c>
      <c r="D25" s="5" t="s">
        <v>49</v>
      </c>
    </row>
    <row r="26" customFormat="false" ht="15" hidden="false" customHeight="false" outlineLevel="0" collapsed="false">
      <c r="A26" s="8" t="s">
        <v>54</v>
      </c>
      <c r="B26" s="5" t="s">
        <v>55</v>
      </c>
      <c r="C26" s="9" t="n">
        <f aca="false">Otto!$C$15/2/Otto!$C$17</f>
        <v>0.25763358778626</v>
      </c>
      <c r="D26" s="5" t="s">
        <v>16</v>
      </c>
    </row>
    <row r="27" customFormat="false" ht="15" hidden="false" customHeight="false" outlineLevel="0" collapsed="false">
      <c r="A27" s="8" t="s">
        <v>56</v>
      </c>
      <c r="B27" s="5" t="s">
        <v>57</v>
      </c>
      <c r="C27" s="9" t="n">
        <f aca="false">Otto!$C$13*Otto!$C$7/Otto!$C$6</f>
        <v>1.08987341772152</v>
      </c>
      <c r="D27" s="5" t="s">
        <v>58</v>
      </c>
    </row>
    <row r="28" customFormat="false" ht="15" hidden="false" customHeight="false" outlineLevel="0" collapsed="false">
      <c r="A28" s="8" t="s">
        <v>59</v>
      </c>
      <c r="B28" s="5" t="s">
        <v>60</v>
      </c>
      <c r="C28" s="10" t="n">
        <f aca="false">Otto!$C$25*0.000001/Otto!$C$27</f>
        <v>0.000332934899441184</v>
      </c>
      <c r="D28" s="5" t="s">
        <v>61</v>
      </c>
    </row>
    <row r="30" customFormat="false" ht="15" hidden="false" customHeight="false" outlineLevel="0" collapsed="false">
      <c r="A30" s="7" t="s">
        <v>62</v>
      </c>
    </row>
    <row r="31" customFormat="false" ht="31.5" hidden="false" customHeight="true" outlineLevel="0" collapsed="false">
      <c r="A31" s="4" t="s">
        <v>63</v>
      </c>
      <c r="B31" s="4" t="s">
        <v>64</v>
      </c>
      <c r="C31" s="4" t="s">
        <v>65</v>
      </c>
      <c r="D31" s="4" t="s">
        <v>66</v>
      </c>
      <c r="E31" s="4" t="s">
        <v>67</v>
      </c>
      <c r="F31" s="4" t="s">
        <v>68</v>
      </c>
    </row>
    <row r="32" customFormat="false" ht="15" hidden="false" customHeight="false" outlineLevel="0" collapsed="false">
      <c r="A32" s="8" t="n">
        <v>1</v>
      </c>
      <c r="B32" s="11" t="n">
        <f aca="false">Otto!$C$6</f>
        <v>79</v>
      </c>
      <c r="C32" s="11" t="n">
        <f aca="false">Otto!$C$7</f>
        <v>300</v>
      </c>
      <c r="D32" s="9" t="n">
        <f aca="false">Otto!$C$27</f>
        <v>1.08987341772152</v>
      </c>
      <c r="E32" s="9" t="n">
        <f aca="false">0</f>
        <v>0</v>
      </c>
      <c r="F32" s="11" t="n">
        <f aca="false">Otto!$D$32*Otto!$C$28*1000000</f>
        <v>362.856896732734</v>
      </c>
    </row>
    <row r="33" customFormat="false" ht="15" hidden="false" customHeight="false" outlineLevel="0" collapsed="false">
      <c r="A33" s="8" t="n">
        <v>2</v>
      </c>
      <c r="B33" s="11" t="n">
        <f aca="false">Otto!$C$6*Otto!$C$8^Otto!$C$10</f>
        <v>1712.24775123457</v>
      </c>
      <c r="C33" s="11" t="n">
        <f aca="false">Otto!$C$7*Otto!$C$8^(Otto!$C$10-1)</f>
        <v>722.467405584207</v>
      </c>
      <c r="D33" s="9" t="n">
        <f aca="false">Otto!$C$27/Otto!$C$8</f>
        <v>0.121097046413502</v>
      </c>
      <c r="E33" s="9" t="n">
        <f aca="false">0</f>
        <v>0</v>
      </c>
      <c r="F33" s="11" t="n">
        <f aca="false">Otto!$D$33*Otto!$C$28*1000000</f>
        <v>40.3174329703038</v>
      </c>
    </row>
    <row r="34" customFormat="false" ht="15" hidden="false" customHeight="false" outlineLevel="0" collapsed="false">
      <c r="A34" s="8" t="n">
        <v>3</v>
      </c>
      <c r="B34" s="11" t="n">
        <f aca="false">Otto!$B$33*Otto!$C$34/Otto!$C$33</f>
        <v>7653.75192950755</v>
      </c>
      <c r="C34" s="11" t="n">
        <f aca="false">Otto!$C$33+Otto!$C$9/Otto!$C$11</f>
        <v>3229.43119388504</v>
      </c>
      <c r="D34" s="9" t="n">
        <f aca="false">Otto!$D$33</f>
        <v>0.121097046413502</v>
      </c>
      <c r="E34" s="9" t="n">
        <f aca="false">Otto!$C$11*LN(Otto!$C$34/Otto!$C$33)</f>
        <v>1.0751252978026</v>
      </c>
      <c r="F34" s="11" t="n">
        <f aca="false">Otto!$D$34*Otto!$C$28*1000000</f>
        <v>40.3174329703038</v>
      </c>
    </row>
    <row r="35" customFormat="false" ht="15" hidden="false" customHeight="false" outlineLevel="0" collapsed="false">
      <c r="A35" s="8" t="n">
        <v>4</v>
      </c>
      <c r="B35" s="11" t="n">
        <f aca="false">Otto!$B$34/Otto!$C$8^Otto!$C$10</f>
        <v>353.13020676776</v>
      </c>
      <c r="C35" s="11" t="n">
        <f aca="false">Otto!$C$34/Otto!$C$8^(Otto!$C$10-1)</f>
        <v>1341.00078519403</v>
      </c>
      <c r="D35" s="9" t="n">
        <f aca="false">Otto!$C$27</f>
        <v>1.08987341772152</v>
      </c>
      <c r="E35" s="9" t="n">
        <f aca="false">Otto!$E$34</f>
        <v>1.0751252978026</v>
      </c>
      <c r="F35" s="11" t="n">
        <f aca="false">Otto!$D$35*Otto!$C$28*1000000</f>
        <v>362.856896732734</v>
      </c>
    </row>
    <row r="37" customFormat="false" ht="15" hidden="false" customHeight="false" outlineLevel="0" collapsed="false">
      <c r="A37" s="7" t="s">
        <v>69</v>
      </c>
    </row>
    <row r="38" customFormat="false" ht="31.5" hidden="false" customHeight="true" outlineLevel="0" collapsed="false">
      <c r="A38" s="4" t="s">
        <v>70</v>
      </c>
      <c r="B38" s="4" t="s">
        <v>71</v>
      </c>
      <c r="C38" s="4" t="s">
        <v>72</v>
      </c>
      <c r="D38" s="4" t="s">
        <v>73</v>
      </c>
      <c r="E38" s="4" t="s">
        <v>74</v>
      </c>
      <c r="F38" s="4" t="s">
        <v>75</v>
      </c>
      <c r="G38" s="4" t="s">
        <v>76</v>
      </c>
    </row>
    <row r="39" customFormat="false" ht="15" hidden="false" customHeight="false" outlineLevel="0" collapsed="false">
      <c r="A39" s="8" t="s">
        <v>77</v>
      </c>
      <c r="B39" s="5" t="s">
        <v>78</v>
      </c>
      <c r="C39" s="11" t="n">
        <f aca="false">0</f>
        <v>0</v>
      </c>
      <c r="D39" s="11" t="n">
        <f aca="false">-E39</f>
        <v>-303.331597209461</v>
      </c>
      <c r="E39" s="11" t="n">
        <f aca="false">Otto!$C$11*(Otto!$C$33-Otto!$C$32)</f>
        <v>303.331597209461</v>
      </c>
      <c r="F39" s="9" t="n">
        <f aca="false">Otto!$E$33-Otto!$E$32</f>
        <v>0</v>
      </c>
      <c r="G39" s="12" t="n">
        <f aca="false">C39-D39-E39</f>
        <v>0</v>
      </c>
    </row>
    <row r="40" customFormat="false" ht="15" hidden="false" customHeight="false" outlineLevel="0" collapsed="false">
      <c r="A40" s="8" t="s">
        <v>79</v>
      </c>
      <c r="B40" s="5" t="s">
        <v>80</v>
      </c>
      <c r="C40" s="11" t="n">
        <f aca="false">Otto!$C$11*(Otto!$C$34-Otto!$C$33)</f>
        <v>1800</v>
      </c>
      <c r="D40" s="11" t="n">
        <f aca="false">0</f>
        <v>0</v>
      </c>
      <c r="E40" s="11" t="n">
        <f aca="false">Otto!$C$11*(Otto!$C$34-Otto!$C$33)</f>
        <v>1800</v>
      </c>
      <c r="F40" s="9" t="n">
        <f aca="false">Otto!$E$34-Otto!$E$33</f>
        <v>1.0751252978026</v>
      </c>
      <c r="G40" s="12" t="n">
        <f aca="false">C40-D40-E40</f>
        <v>0</v>
      </c>
    </row>
    <row r="41" customFormat="false" ht="15" hidden="false" customHeight="false" outlineLevel="0" collapsed="false">
      <c r="A41" s="8" t="s">
        <v>81</v>
      </c>
      <c r="B41" s="5" t="s">
        <v>82</v>
      </c>
      <c r="C41" s="11" t="n">
        <f aca="false">0</f>
        <v>0</v>
      </c>
      <c r="D41" s="11" t="n">
        <f aca="false">-E41</f>
        <v>1355.89303344015</v>
      </c>
      <c r="E41" s="11" t="n">
        <f aca="false">Otto!$C$11*(Otto!$C$35-Otto!$C$34)</f>
        <v>-1355.89303344015</v>
      </c>
      <c r="F41" s="9" t="n">
        <f aca="false">Otto!$E$35-Otto!$E$34</f>
        <v>0</v>
      </c>
      <c r="G41" s="12" t="n">
        <f aca="false">C41-D41-E41</f>
        <v>0</v>
      </c>
    </row>
    <row r="42" customFormat="false" ht="15" hidden="false" customHeight="false" outlineLevel="0" collapsed="false">
      <c r="A42" s="8" t="s">
        <v>83</v>
      </c>
      <c r="B42" s="5" t="s">
        <v>84</v>
      </c>
      <c r="C42" s="11" t="n">
        <f aca="false">Otto!$C$11*(Otto!$C$32-Otto!$C$35)</f>
        <v>-747.438563769311</v>
      </c>
      <c r="D42" s="11" t="n">
        <f aca="false">0</f>
        <v>0</v>
      </c>
      <c r="E42" s="11" t="n">
        <f aca="false">Otto!$C$11*(Otto!$C$32-Otto!$C$35)</f>
        <v>-747.438563769311</v>
      </c>
      <c r="F42" s="9" t="n">
        <f aca="false">Otto!$E$32-Otto!$E$35</f>
        <v>-1.0751252978026</v>
      </c>
      <c r="G42" s="12" t="n">
        <f aca="false">C42-D42-E42</f>
        <v>0</v>
      </c>
    </row>
    <row r="43" customFormat="false" ht="15" hidden="false" customHeight="false" outlineLevel="0" collapsed="false">
      <c r="A43" s="8" t="s">
        <v>85</v>
      </c>
      <c r="C43" s="13" t="n">
        <f aca="false">SUM(C39:C42)</f>
        <v>1052.56143623069</v>
      </c>
      <c r="D43" s="13" t="n">
        <f aca="false">SUM(D39:D42)</f>
        <v>1052.56143623069</v>
      </c>
      <c r="E43" s="13" t="n">
        <f aca="false">SUM(E39:E42)</f>
        <v>0</v>
      </c>
      <c r="F43" s="14" t="n">
        <f aca="false">SUM(F39:F42)</f>
        <v>0</v>
      </c>
    </row>
    <row r="44" customFormat="false" ht="15" hidden="false" customHeight="false" outlineLevel="0" collapsed="false">
      <c r="A44" s="15" t="s">
        <v>86</v>
      </c>
    </row>
    <row r="46" customFormat="false" ht="15" hidden="false" customHeight="false" outlineLevel="0" collapsed="false">
      <c r="A46" s="7" t="s">
        <v>87</v>
      </c>
    </row>
    <row r="47" customFormat="false" ht="31.5" hidden="false" customHeight="true" outlineLevel="0" collapsed="false">
      <c r="A47" s="4" t="s">
        <v>42</v>
      </c>
      <c r="B47" s="4" t="s">
        <v>43</v>
      </c>
      <c r="C47" s="4" t="s">
        <v>5</v>
      </c>
      <c r="D47" s="4" t="s">
        <v>6</v>
      </c>
    </row>
    <row r="48" customFormat="false" ht="15" hidden="false" customHeight="false" outlineLevel="0" collapsed="false">
      <c r="A48" s="8" t="s">
        <v>88</v>
      </c>
      <c r="B48" s="5" t="s">
        <v>89</v>
      </c>
      <c r="C48" s="11" t="n">
        <f aca="false">Otto!$C$40</f>
        <v>1800</v>
      </c>
      <c r="D48" s="5" t="s">
        <v>19</v>
      </c>
    </row>
    <row r="49" customFormat="false" ht="15" hidden="false" customHeight="false" outlineLevel="0" collapsed="false">
      <c r="A49" s="8" t="s">
        <v>90</v>
      </c>
      <c r="B49" s="5" t="s">
        <v>91</v>
      </c>
      <c r="C49" s="11" t="n">
        <f aca="false">-Otto!$C$42</f>
        <v>747.438563769311</v>
      </c>
      <c r="D49" s="5" t="s">
        <v>19</v>
      </c>
    </row>
    <row r="50" customFormat="false" ht="15" hidden="false" customHeight="false" outlineLevel="0" collapsed="false">
      <c r="A50" s="8" t="s">
        <v>92</v>
      </c>
      <c r="B50" s="5" t="s">
        <v>93</v>
      </c>
      <c r="C50" s="11" t="n">
        <f aca="false">Otto!$D$43</f>
        <v>1052.56143623069</v>
      </c>
      <c r="D50" s="5" t="s">
        <v>19</v>
      </c>
    </row>
    <row r="51" customFormat="false" ht="15" hidden="false" customHeight="false" outlineLevel="0" collapsed="false">
      <c r="A51" s="8" t="s">
        <v>94</v>
      </c>
      <c r="B51" s="5" t="s">
        <v>95</v>
      </c>
      <c r="C51" s="11" t="n">
        <f aca="false">C50/C48*100</f>
        <v>58.4756353461494</v>
      </c>
      <c r="D51" s="5" t="s">
        <v>96</v>
      </c>
    </row>
    <row r="52" customFormat="false" ht="15" hidden="false" customHeight="false" outlineLevel="0" collapsed="false">
      <c r="A52" s="8" t="s">
        <v>97</v>
      </c>
      <c r="B52" s="5" t="s">
        <v>1</v>
      </c>
      <c r="C52" s="11" t="n">
        <f aca="false">(1-1/Otto!$C$8^(Otto!$C$10-1))*100</f>
        <v>58.4756353461494</v>
      </c>
      <c r="D52" s="5" t="s">
        <v>96</v>
      </c>
    </row>
    <row r="53" customFormat="false" ht="15" hidden="false" customHeight="false" outlineLevel="0" collapsed="false">
      <c r="A53" s="8" t="s">
        <v>98</v>
      </c>
      <c r="B53" s="5" t="s">
        <v>99</v>
      </c>
      <c r="C53" s="11" t="n">
        <f aca="false">(1-MIN(Otto!$C$32,Otto!$C$35)/MAX(Otto!$C$33,Otto!$C$34))*100</f>
        <v>90.7104384026496</v>
      </c>
      <c r="D53" s="5" t="s">
        <v>96</v>
      </c>
    </row>
    <row r="54" customFormat="false" ht="15" hidden="false" customHeight="false" outlineLevel="0" collapsed="false">
      <c r="A54" s="8" t="s">
        <v>100</v>
      </c>
      <c r="B54" s="5" t="s">
        <v>101</v>
      </c>
      <c r="C54" s="11" t="n">
        <f aca="false">C48/Otto!$F$40</f>
        <v>1674.22346370134</v>
      </c>
      <c r="D54" s="5" t="s">
        <v>13</v>
      </c>
    </row>
    <row r="55" customFormat="false" ht="15" hidden="false" customHeight="false" outlineLevel="0" collapsed="false">
      <c r="A55" s="8" t="s">
        <v>102</v>
      </c>
      <c r="B55" s="5" t="s">
        <v>103</v>
      </c>
      <c r="C55" s="11" t="n">
        <f aca="false">C50/(MAX(Otto!$D$32,Otto!$D$33,Otto!$D$34,Otto!$D$35)-MIN(Otto!$D$32,Otto!$D$33,Otto!$D$34,Otto!$D$35))</f>
        <v>1086.48545464579</v>
      </c>
      <c r="D55" s="5" t="s">
        <v>10</v>
      </c>
    </row>
    <row r="56" customFormat="false" ht="15" hidden="false" customHeight="false" outlineLevel="0" collapsed="false">
      <c r="A56" s="8" t="s">
        <v>104</v>
      </c>
      <c r="B56" s="5" t="s">
        <v>105</v>
      </c>
      <c r="C56" s="11" t="n">
        <f aca="false">MAX(Otto!$B$32,Otto!$B$33,Otto!$B$34,Otto!$B$35)</f>
        <v>7653.75192950755</v>
      </c>
      <c r="D56" s="5" t="s">
        <v>10</v>
      </c>
    </row>
    <row r="57" customFormat="false" ht="15" hidden="false" customHeight="false" outlineLevel="0" collapsed="false">
      <c r="A57" s="8" t="s">
        <v>106</v>
      </c>
      <c r="B57" s="5" t="s">
        <v>107</v>
      </c>
      <c r="C57" s="11" t="n">
        <f aca="false">MAX(Otto!$C$32,Otto!$C$33,Otto!$C$34,Otto!$C$35)</f>
        <v>3229.43119388504</v>
      </c>
      <c r="D57" s="5" t="s">
        <v>13</v>
      </c>
    </row>
    <row r="58" customFormat="false" ht="15" hidden="false" customHeight="false" outlineLevel="0" collapsed="false">
      <c r="A58" s="8" t="s">
        <v>108</v>
      </c>
      <c r="B58" s="5" t="s">
        <v>109</v>
      </c>
      <c r="C58" s="11" t="n">
        <f aca="false">C50*Otto!$C$28*1000</f>
        <v>350.434435927133</v>
      </c>
      <c r="D58" s="5" t="s">
        <v>110</v>
      </c>
    </row>
    <row r="59" customFormat="false" ht="15" hidden="false" customHeight="false" outlineLevel="0" collapsed="false">
      <c r="A59" s="8" t="s">
        <v>111</v>
      </c>
      <c r="B59" s="5" t="s">
        <v>112</v>
      </c>
      <c r="C59" s="11" t="n">
        <f aca="false">C48*Otto!$C$28*1000</f>
        <v>599.282818994132</v>
      </c>
      <c r="D59" s="5" t="s">
        <v>110</v>
      </c>
    </row>
    <row r="60" customFormat="false" ht="15" hidden="false" customHeight="false" outlineLevel="0" collapsed="false">
      <c r="A60" s="8" t="s">
        <v>113</v>
      </c>
      <c r="B60" s="5" t="s">
        <v>114</v>
      </c>
      <c r="C60" s="11" t="n">
        <f aca="false">C58*Otto!$C$16*Otto!$C$18/120/1000</f>
        <v>35.0434435927133</v>
      </c>
      <c r="D60" s="5" t="s">
        <v>115</v>
      </c>
    </row>
    <row r="61" customFormat="false" ht="15" hidden="false" customHeight="false" outlineLevel="0" collapsed="false">
      <c r="A61" s="8" t="s">
        <v>116</v>
      </c>
      <c r="B61" s="5" t="s">
        <v>117</v>
      </c>
      <c r="C61" s="9" t="n">
        <f aca="false">-Otto!$D$39/(Otto!$D$41+Otto!$D$40)</f>
        <v>0.223713515541748</v>
      </c>
      <c r="D61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31.5" hidden="false" customHeight="true" outlineLevel="0" collapsed="false">
      <c r="A4" s="4" t="s">
        <v>70</v>
      </c>
      <c r="B4" s="4" t="s">
        <v>120</v>
      </c>
      <c r="C4" s="4" t="s">
        <v>66</v>
      </c>
      <c r="D4" s="4" t="s">
        <v>65</v>
      </c>
      <c r="E4" s="4" t="s">
        <v>64</v>
      </c>
      <c r="F4" s="4" t="s">
        <v>67</v>
      </c>
      <c r="G4" s="4" t="s">
        <v>68</v>
      </c>
    </row>
    <row r="5" customFormat="false" ht="15" hidden="false" customHeight="false" outlineLevel="0" collapsed="false">
      <c r="A5" s="5" t="s">
        <v>77</v>
      </c>
      <c r="B5" s="12" t="n">
        <v>0</v>
      </c>
      <c r="C5" s="16" t="n">
        <f aca="false">Otto!$D$32+(Otto!$D$33-Otto!$D$32)*B5</f>
        <v>1.08987341772152</v>
      </c>
      <c r="D5" s="11" t="n">
        <f aca="false">Otto!$C$32*(Otto!$D$32/C5)^(Otto!$C$10-1)</f>
        <v>300</v>
      </c>
      <c r="E5" s="11" t="n">
        <f aca="false">Otto!$C$13*D5/C5</f>
        <v>79</v>
      </c>
      <c r="F5" s="16" t="n">
        <f aca="false">0</f>
        <v>0</v>
      </c>
      <c r="G5" s="11" t="n">
        <f aca="false">C5*Otto!$C$28*1000000</f>
        <v>362.856896732734</v>
      </c>
    </row>
    <row r="6" customFormat="false" ht="15" hidden="false" customHeight="false" outlineLevel="0" collapsed="false">
      <c r="A6" s="5" t="s">
        <v>77</v>
      </c>
      <c r="B6" s="12" t="n">
        <v>0.052632</v>
      </c>
      <c r="C6" s="16" t="n">
        <f aca="false">Otto!$D$32+(Otto!$D$33-Otto!$D$32)*B6</f>
        <v>1.03888477974684</v>
      </c>
      <c r="D6" s="11" t="n">
        <f aca="false">Otto!$C$32*(Otto!$D$32/C6)^(Otto!$C$10-1)</f>
        <v>305.805100937866</v>
      </c>
      <c r="E6" s="11" t="n">
        <f aca="false">Otto!$C$13*D6/C6</f>
        <v>84.4810374356964</v>
      </c>
      <c r="F6" s="16" t="n">
        <f aca="false">0</f>
        <v>0</v>
      </c>
      <c r="G6" s="11" t="n">
        <f aca="false">C6*Otto!$C$28*1000000</f>
        <v>345.88099967599</v>
      </c>
    </row>
    <row r="7" customFormat="false" ht="15" hidden="false" customHeight="false" outlineLevel="0" collapsed="false">
      <c r="A7" s="5" t="s">
        <v>77</v>
      </c>
      <c r="B7" s="12" t="n">
        <v>0.105263</v>
      </c>
      <c r="C7" s="16" t="n">
        <f aca="false">Otto!$D$32+(Otto!$D$33-Otto!$D$32)*B7</f>
        <v>0.987897110548523</v>
      </c>
      <c r="D7" s="11" t="n">
        <f aca="false">Otto!$C$32*(Otto!$D$32/C7)^(Otto!$C$10-1)</f>
        <v>312.023276300521</v>
      </c>
      <c r="E7" s="11" t="n">
        <f aca="false">Otto!$C$13*D7/C7</f>
        <v>90.6477803630046</v>
      </c>
      <c r="F7" s="16" t="n">
        <f aca="false">0</f>
        <v>0</v>
      </c>
      <c r="G7" s="11" t="n">
        <f aca="false">C7*Otto!$C$28*1000000</f>
        <v>328.905425158709</v>
      </c>
    </row>
    <row r="8" customFormat="false" ht="15" hidden="false" customHeight="false" outlineLevel="0" collapsed="false">
      <c r="A8" s="5" t="s">
        <v>77</v>
      </c>
      <c r="B8" s="12" t="n">
        <v>0.157895</v>
      </c>
      <c r="C8" s="16" t="n">
        <f aca="false">Otto!$D$32+(Otto!$D$33-Otto!$D$32)*B8</f>
        <v>0.93690847257384</v>
      </c>
      <c r="D8" s="11" t="n">
        <f aca="false">Otto!$C$32*(Otto!$D$32/C8)^(Otto!$C$10-1)</f>
        <v>318.707887911787</v>
      </c>
      <c r="E8" s="11" t="n">
        <f aca="false">Otto!$C$13*D8/C8</f>
        <v>97.6287081484087</v>
      </c>
      <c r="F8" s="16" t="n">
        <f aca="false">0</f>
        <v>0</v>
      </c>
      <c r="G8" s="11" t="n">
        <f aca="false">C8*Otto!$C$28*1000000</f>
        <v>311.929528101965</v>
      </c>
    </row>
    <row r="9" customFormat="false" ht="15" hidden="false" customHeight="false" outlineLevel="0" collapsed="false">
      <c r="A9" s="5" t="s">
        <v>77</v>
      </c>
      <c r="B9" s="12" t="n">
        <v>0.210526</v>
      </c>
      <c r="C9" s="16" t="n">
        <f aca="false">Otto!$D$32+(Otto!$D$33-Otto!$D$32)*B9</f>
        <v>0.885920803375528</v>
      </c>
      <c r="D9" s="11" t="n">
        <f aca="false">Otto!$C$32*(Otto!$D$32/C9)^(Otto!$C$10-1)</f>
        <v>325.922031595089</v>
      </c>
      <c r="E9" s="11" t="n">
        <f aca="false">Otto!$C$13*D9/C9</f>
        <v>105.584633199025</v>
      </c>
      <c r="F9" s="16" t="n">
        <f aca="false">0</f>
        <v>0</v>
      </c>
      <c r="G9" s="11" t="n">
        <f aca="false">C9*Otto!$C$28*1000000</f>
        <v>294.953953584684</v>
      </c>
    </row>
    <row r="10" customFormat="false" ht="15" hidden="false" customHeight="false" outlineLevel="0" collapsed="false">
      <c r="A10" s="5" t="s">
        <v>77</v>
      </c>
      <c r="B10" s="12" t="n">
        <v>0.263158</v>
      </c>
      <c r="C10" s="16" t="n">
        <f aca="false">Otto!$D$32+(Otto!$D$33-Otto!$D$32)*B10</f>
        <v>0.834932165400844</v>
      </c>
      <c r="D10" s="11" t="n">
        <f aca="false">Otto!$C$32*(Otto!$D$32/C10)^(Otto!$C$10-1)</f>
        <v>333.742259465165</v>
      </c>
      <c r="E10" s="11" t="n">
        <f aca="false">Otto!$C$13*D10/C10</f>
        <v>114.720731139298</v>
      </c>
      <c r="F10" s="16" t="n">
        <f aca="false">0</f>
        <v>0</v>
      </c>
      <c r="G10" s="11" t="n">
        <f aca="false">C10*Otto!$C$28*1000000</f>
        <v>277.97805652794</v>
      </c>
    </row>
    <row r="11" customFormat="false" ht="15" hidden="false" customHeight="false" outlineLevel="0" collapsed="false">
      <c r="A11" s="5" t="s">
        <v>77</v>
      </c>
      <c r="B11" s="12" t="n">
        <v>0.315789</v>
      </c>
      <c r="C11" s="16" t="n">
        <f aca="false">Otto!$D$32+(Otto!$D$33-Otto!$D$32)*B11</f>
        <v>0.783944496202532</v>
      </c>
      <c r="D11" s="11" t="n">
        <f aca="false">Otto!$C$32*(Otto!$D$32/C11)^(Otto!$C$10-1)</f>
        <v>342.261108517837</v>
      </c>
      <c r="E11" s="11" t="n">
        <f aca="false">Otto!$C$13*D11/C11</f>
        <v>125.30088369833</v>
      </c>
      <c r="F11" s="16" t="n">
        <f aca="false">0</f>
        <v>0</v>
      </c>
      <c r="G11" s="11" t="n">
        <f aca="false">C11*Otto!$C$28*1000000</f>
        <v>261.00248201066</v>
      </c>
    </row>
    <row r="12" customFormat="false" ht="15" hidden="false" customHeight="false" outlineLevel="0" collapsed="false">
      <c r="A12" s="5" t="s">
        <v>77</v>
      </c>
      <c r="B12" s="12" t="n">
        <v>0.368421</v>
      </c>
      <c r="C12" s="16" t="n">
        <f aca="false">Otto!$D$32+(Otto!$D$33-Otto!$D$32)*B12</f>
        <v>0.732955858227848</v>
      </c>
      <c r="D12" s="11" t="n">
        <f aca="false">Otto!$C$32*(Otto!$D$32/C12)^(Otto!$C$10-1)</f>
        <v>351.593267724294</v>
      </c>
      <c r="E12" s="11" t="n">
        <f aca="false">Otto!$C$13*D12/C12</f>
        <v>137.671684732622</v>
      </c>
      <c r="F12" s="16" t="n">
        <f aca="false">0</f>
        <v>0</v>
      </c>
      <c r="G12" s="11" t="n">
        <f aca="false">C12*Otto!$C$28*1000000</f>
        <v>244.026584953916</v>
      </c>
    </row>
    <row r="13" customFormat="false" ht="15" hidden="false" customHeight="false" outlineLevel="0" collapsed="false">
      <c r="A13" s="5" t="s">
        <v>77</v>
      </c>
      <c r="B13" s="12" t="n">
        <v>0.421053</v>
      </c>
      <c r="C13" s="16" t="n">
        <f aca="false">Otto!$D$32+(Otto!$D$33-Otto!$D$32)*B13</f>
        <v>0.681967220253165</v>
      </c>
      <c r="D13" s="11" t="n">
        <f aca="false">Otto!$C$32*(Otto!$D$32/C13)^(Otto!$C$10-1)</f>
        <v>361.881414107057</v>
      </c>
      <c r="E13" s="11" t="n">
        <f aca="false">Otto!$C$13*D13/C13</f>
        <v>152.294659866745</v>
      </c>
      <c r="F13" s="16" t="n">
        <f aca="false">0</f>
        <v>0</v>
      </c>
      <c r="G13" s="11" t="n">
        <f aca="false">C13*Otto!$C$28*1000000</f>
        <v>227.050687897171</v>
      </c>
    </row>
    <row r="14" customFormat="false" ht="15" hidden="false" customHeight="false" outlineLevel="0" collapsed="false">
      <c r="A14" s="5" t="s">
        <v>77</v>
      </c>
      <c r="B14" s="12" t="n">
        <v>0.473684</v>
      </c>
      <c r="C14" s="16" t="n">
        <f aca="false">Otto!$D$32+(Otto!$D$33-Otto!$D$32)*B14</f>
        <v>0.630979551054852</v>
      </c>
      <c r="D14" s="11" t="n">
        <f aca="false">Otto!$C$32*(Otto!$D$32/C14)^(Otto!$C$10-1)</f>
        <v>373.306511151644</v>
      </c>
      <c r="E14" s="11" t="n">
        <f aca="false">Otto!$C$13*D14/C14</f>
        <v>169.797846097247</v>
      </c>
      <c r="F14" s="16" t="n">
        <f aca="false">0</f>
        <v>0</v>
      </c>
      <c r="G14" s="11" t="n">
        <f aca="false">C14*Otto!$C$28*1000000</f>
        <v>210.075113379891</v>
      </c>
    </row>
    <row r="15" customFormat="false" ht="15" hidden="false" customHeight="false" outlineLevel="0" collapsed="false">
      <c r="A15" s="5" t="s">
        <v>77</v>
      </c>
      <c r="B15" s="12" t="n">
        <v>0.526316</v>
      </c>
      <c r="C15" s="16" t="n">
        <f aca="false">Otto!$D$32+(Otto!$D$33-Otto!$D$32)*B15</f>
        <v>0.579990913080169</v>
      </c>
      <c r="D15" s="11" t="n">
        <f aca="false">Otto!$C$32*(Otto!$D$32/C15)^(Otto!$C$10-1)</f>
        <v>386.10302396237</v>
      </c>
      <c r="E15" s="11" t="n">
        <f aca="false">Otto!$C$13*D15/C15</f>
        <v>191.057420690802</v>
      </c>
      <c r="F15" s="16" t="n">
        <f aca="false">0</f>
        <v>0</v>
      </c>
      <c r="G15" s="11" t="n">
        <f aca="false">C15*Otto!$C$28*1000000</f>
        <v>193.099216323147</v>
      </c>
    </row>
    <row r="16" customFormat="false" ht="15" hidden="false" customHeight="false" outlineLevel="0" collapsed="false">
      <c r="A16" s="5" t="s">
        <v>77</v>
      </c>
      <c r="B16" s="12" t="n">
        <v>0.578947</v>
      </c>
      <c r="C16" s="16" t="n">
        <f aca="false">Otto!$D$32+(Otto!$D$33-Otto!$D$32)*B16</f>
        <v>0.529003243881857</v>
      </c>
      <c r="D16" s="11" t="n">
        <f aca="false">Otto!$C$32*(Otto!$D$32/C16)^(Otto!$C$10-1)</f>
        <v>400.579153730023</v>
      </c>
      <c r="E16" s="11" t="n">
        <f aca="false">Otto!$C$13*D16/C16</f>
        <v>217.326109906033</v>
      </c>
      <c r="F16" s="16" t="n">
        <f aca="false">0</f>
        <v>0</v>
      </c>
      <c r="G16" s="11" t="n">
        <f aca="false">C16*Otto!$C$28*1000000</f>
        <v>176.123641805866</v>
      </c>
    </row>
    <row r="17" customFormat="false" ht="15" hidden="false" customHeight="false" outlineLevel="0" collapsed="false">
      <c r="A17" s="5" t="s">
        <v>77</v>
      </c>
      <c r="B17" s="12" t="n">
        <v>0.631579</v>
      </c>
      <c r="C17" s="16" t="n">
        <f aca="false">Otto!$D$32+(Otto!$D$33-Otto!$D$32)*B17</f>
        <v>0.478014605907173</v>
      </c>
      <c r="D17" s="11" t="n">
        <f aca="false">Otto!$C$32*(Otto!$D$32/C17)^(Otto!$C$10-1)</f>
        <v>417.152847125763</v>
      </c>
      <c r="E17" s="11" t="n">
        <f aca="false">Otto!$C$13*D17/C17</f>
        <v>250.458596129892</v>
      </c>
      <c r="F17" s="16" t="n">
        <f aca="false">0</f>
        <v>0</v>
      </c>
      <c r="G17" s="11" t="n">
        <f aca="false">C17*Otto!$C$28*1000000</f>
        <v>159.147744749122</v>
      </c>
    </row>
    <row r="18" customFormat="false" ht="15" hidden="false" customHeight="false" outlineLevel="0" collapsed="false">
      <c r="A18" s="5" t="s">
        <v>77</v>
      </c>
      <c r="B18" s="12" t="n">
        <v>0.684211</v>
      </c>
      <c r="C18" s="16" t="n">
        <f aca="false">Otto!$D$32+(Otto!$D$33-Otto!$D$32)*B18</f>
        <v>0.42702596793249</v>
      </c>
      <c r="D18" s="11" t="n">
        <f aca="false">Otto!$C$32*(Otto!$D$32/C18)^(Otto!$C$10-1)</f>
        <v>436.405247913033</v>
      </c>
      <c r="E18" s="11" t="n">
        <f aca="false">Otto!$C$13*D18/C18</f>
        <v>293.303722856596</v>
      </c>
      <c r="F18" s="16" t="n">
        <f aca="false">0</f>
        <v>0</v>
      </c>
      <c r="G18" s="11" t="n">
        <f aca="false">C18*Otto!$C$28*1000000</f>
        <v>142.171847692378</v>
      </c>
    </row>
    <row r="19" customFormat="false" ht="15" hidden="false" customHeight="false" outlineLevel="0" collapsed="false">
      <c r="A19" s="5" t="s">
        <v>77</v>
      </c>
      <c r="B19" s="12" t="n">
        <v>0.736842</v>
      </c>
      <c r="C19" s="16" t="n">
        <f aca="false">Otto!$D$32+(Otto!$D$33-Otto!$D$32)*B19</f>
        <v>0.376038298734177</v>
      </c>
      <c r="D19" s="11" t="n">
        <f aca="false">Otto!$C$32*(Otto!$D$32/C19)^(Otto!$C$10-1)</f>
        <v>459.175647531713</v>
      </c>
      <c r="E19" s="11" t="n">
        <f aca="false">Otto!$C$13*D19/C19</f>
        <v>350.452098324058</v>
      </c>
      <c r="F19" s="16" t="n">
        <f aca="false">0</f>
        <v>0</v>
      </c>
      <c r="G19" s="11" t="n">
        <f aca="false">C19*Otto!$C$28*1000000</f>
        <v>125.196273175097</v>
      </c>
    </row>
    <row r="20" customFormat="false" ht="15" hidden="false" customHeight="false" outlineLevel="0" collapsed="false">
      <c r="A20" s="5" t="s">
        <v>77</v>
      </c>
      <c r="B20" s="12" t="n">
        <v>0.789474</v>
      </c>
      <c r="C20" s="16" t="n">
        <f aca="false">Otto!$D$32+(Otto!$D$33-Otto!$D$32)*B20</f>
        <v>0.325049660759494</v>
      </c>
      <c r="D20" s="11" t="n">
        <f aca="false">Otto!$C$32*(Otto!$D$32/C20)^(Otto!$C$10-1)</f>
        <v>486.734120714902</v>
      </c>
      <c r="E20" s="11" t="n">
        <f aca="false">Otto!$C$13*D20/C20</f>
        <v>429.758001650512</v>
      </c>
      <c r="F20" s="16" t="n">
        <f aca="false">0</f>
        <v>0</v>
      </c>
      <c r="G20" s="11" t="n">
        <f aca="false">C20*Otto!$C$28*1000000</f>
        <v>108.220376118353</v>
      </c>
    </row>
    <row r="21" customFormat="false" ht="15" hidden="false" customHeight="false" outlineLevel="0" collapsed="false">
      <c r="A21" s="5" t="s">
        <v>77</v>
      </c>
      <c r="B21" s="12" t="n">
        <v>0.842105</v>
      </c>
      <c r="C21" s="16" t="n">
        <f aca="false">Otto!$D$32+(Otto!$D$33-Otto!$D$32)*B21</f>
        <v>0.274061991561182</v>
      </c>
      <c r="D21" s="11" t="n">
        <f aca="false">Otto!$C$32*(Otto!$D$32/C21)^(Otto!$C$10-1)</f>
        <v>521.113297063665</v>
      </c>
      <c r="E21" s="11" t="n">
        <f aca="false">Otto!$C$13*D21/C21</f>
        <v>545.714184609522</v>
      </c>
      <c r="F21" s="16" t="n">
        <f aca="false">0</f>
        <v>0</v>
      </c>
      <c r="G21" s="11" t="n">
        <f aca="false">C21*Otto!$C$28*1000000</f>
        <v>91.2448016010727</v>
      </c>
    </row>
    <row r="22" customFormat="false" ht="15" hidden="false" customHeight="false" outlineLevel="0" collapsed="false">
      <c r="A22" s="5" t="s">
        <v>77</v>
      </c>
      <c r="B22" s="12" t="n">
        <v>0.894737</v>
      </c>
      <c r="C22" s="16" t="n">
        <f aca="false">Otto!$D$32+(Otto!$D$33-Otto!$D$32)*B22</f>
        <v>0.223073353586498</v>
      </c>
      <c r="D22" s="11" t="n">
        <f aca="false">Otto!$C$32*(Otto!$D$32/C22)^(Otto!$C$10-1)</f>
        <v>565.838638714841</v>
      </c>
      <c r="E22" s="11" t="n">
        <f aca="false">Otto!$C$13*D22/C22</f>
        <v>727.992324947002</v>
      </c>
      <c r="F22" s="16" t="n">
        <f aca="false">0</f>
        <v>0</v>
      </c>
      <c r="G22" s="11" t="n">
        <f aca="false">C22*Otto!$C$28*1000000</f>
        <v>74.2689045443284</v>
      </c>
    </row>
    <row r="23" customFormat="false" ht="15" hidden="false" customHeight="false" outlineLevel="0" collapsed="false">
      <c r="A23" s="5" t="s">
        <v>77</v>
      </c>
      <c r="B23" s="12" t="n">
        <v>0.947368</v>
      </c>
      <c r="C23" s="16" t="n">
        <f aca="false">Otto!$D$32+(Otto!$D$33-Otto!$D$32)*B23</f>
        <v>0.172085684388186</v>
      </c>
      <c r="D23" s="11" t="n">
        <f aca="false">Otto!$C$32*(Otto!$D$32/C23)^(Otto!$C$10-1)</f>
        <v>627.731296260747</v>
      </c>
      <c r="E23" s="11" t="n">
        <f aca="false">Otto!$C$13*D23/C23</f>
        <v>1046.9138247458</v>
      </c>
      <c r="F23" s="16" t="n">
        <f aca="false">0</f>
        <v>0</v>
      </c>
      <c r="G23" s="11" t="n">
        <f aca="false">C23*Otto!$C$28*1000000</f>
        <v>57.293330027048</v>
      </c>
    </row>
    <row r="24" customFormat="false" ht="15" hidden="false" customHeight="false" outlineLevel="0" collapsed="false">
      <c r="A24" s="5" t="s">
        <v>77</v>
      </c>
      <c r="B24" s="12" t="n">
        <v>1</v>
      </c>
      <c r="C24" s="16" t="n">
        <f aca="false">Otto!$D$32+(Otto!$D$33-Otto!$D$32)*B24</f>
        <v>0.121097046413502</v>
      </c>
      <c r="D24" s="11" t="n">
        <f aca="false">Otto!$C$32*(Otto!$D$32/C24)^(Otto!$C$10-1)</f>
        <v>722.467405584207</v>
      </c>
      <c r="E24" s="11" t="n">
        <f aca="false">Otto!$C$13*D24/C24</f>
        <v>1712.24775123457</v>
      </c>
      <c r="F24" s="16" t="n">
        <f aca="false">0</f>
        <v>0</v>
      </c>
      <c r="G24" s="11" t="n">
        <f aca="false">C24*Otto!$C$28*1000000</f>
        <v>40.3174329703038</v>
      </c>
    </row>
    <row r="25" customFormat="false" ht="15" hidden="false" customHeight="false" outlineLevel="0" collapsed="false">
      <c r="A25" s="5" t="s">
        <v>79</v>
      </c>
      <c r="B25" s="12" t="n">
        <v>0</v>
      </c>
      <c r="C25" s="16" t="n">
        <f aca="false">Otto!$D$33</f>
        <v>0.121097046413502</v>
      </c>
      <c r="D25" s="11" t="n">
        <f aca="false">Otto!$C$33+(Otto!$C$34-Otto!$C$33)*B25</f>
        <v>722.467405584207</v>
      </c>
      <c r="E25" s="11" t="n">
        <f aca="false">Otto!$C$13*D25/C25</f>
        <v>1712.24775123457</v>
      </c>
      <c r="F25" s="16" t="n">
        <f aca="false">Otto!$C$11*LN(D25/Otto!$C$33)</f>
        <v>0</v>
      </c>
      <c r="G25" s="11" t="n">
        <f aca="false">C25*Otto!$C$28*1000000</f>
        <v>40.3174329703038</v>
      </c>
    </row>
    <row r="26" customFormat="false" ht="15" hidden="false" customHeight="false" outlineLevel="0" collapsed="false">
      <c r="A26" s="5" t="s">
        <v>79</v>
      </c>
      <c r="B26" s="12" t="n">
        <v>0.052632</v>
      </c>
      <c r="C26" s="16" t="n">
        <f aca="false">Otto!$D$33</f>
        <v>0.121097046413502</v>
      </c>
      <c r="D26" s="11" t="n">
        <f aca="false">Otto!$C$33+(Otto!$C$34-Otto!$C$33)*B26</f>
        <v>854.413923690057</v>
      </c>
      <c r="E26" s="11" t="n">
        <f aca="false">Otto!$C$13*D26/C26</f>
        <v>2024.96099914544</v>
      </c>
      <c r="F26" s="16" t="n">
        <f aca="false">Otto!$C$11*LN(D26/Otto!$C$33)</f>
        <v>0.120439803516173</v>
      </c>
      <c r="G26" s="11" t="n">
        <f aca="false">C26*Otto!$C$28*1000000</f>
        <v>40.3174329703038</v>
      </c>
    </row>
    <row r="27" customFormat="false" ht="15" hidden="false" customHeight="false" outlineLevel="0" collapsed="false">
      <c r="A27" s="5" t="s">
        <v>79</v>
      </c>
      <c r="B27" s="12" t="n">
        <v>0.105263</v>
      </c>
      <c r="C27" s="16" t="n">
        <f aca="false">Otto!$D$33</f>
        <v>0.121097046413502</v>
      </c>
      <c r="D27" s="11" t="n">
        <f aca="false">Otto!$C$33+(Otto!$C$34-Otto!$C$33)*B27</f>
        <v>986.357934832118</v>
      </c>
      <c r="E27" s="11" t="n">
        <f aca="false">Otto!$C$13*D27/C27</f>
        <v>2337.66830555212</v>
      </c>
      <c r="F27" s="16" t="n">
        <f aca="false">Otto!$C$11*LN(D27/Otto!$C$33)</f>
        <v>0.223547146149564</v>
      </c>
      <c r="G27" s="11" t="n">
        <f aca="false">C27*Otto!$C$28*1000000</f>
        <v>40.3174329703038</v>
      </c>
    </row>
    <row r="28" customFormat="false" ht="15" hidden="false" customHeight="false" outlineLevel="0" collapsed="false">
      <c r="A28" s="5" t="s">
        <v>79</v>
      </c>
      <c r="B28" s="12" t="n">
        <v>0.157895</v>
      </c>
      <c r="C28" s="16" t="n">
        <f aca="false">Otto!$D$33</f>
        <v>0.121097046413502</v>
      </c>
      <c r="D28" s="11" t="n">
        <f aca="false">Otto!$C$33+(Otto!$C$34-Otto!$C$33)*B28</f>
        <v>1118.30445293797</v>
      </c>
      <c r="E28" s="11" t="n">
        <f aca="false">Otto!$C$13*D28/C28</f>
        <v>2650.38155346298</v>
      </c>
      <c r="F28" s="16" t="n">
        <f aca="false">Otto!$C$11*LN(D28/Otto!$C$33)</f>
        <v>0.313691780567552</v>
      </c>
      <c r="G28" s="11" t="n">
        <f aca="false">C28*Otto!$C$28*1000000</f>
        <v>40.3174329703038</v>
      </c>
    </row>
    <row r="29" customFormat="false" ht="15" hidden="false" customHeight="false" outlineLevel="0" collapsed="false">
      <c r="A29" s="5" t="s">
        <v>79</v>
      </c>
      <c r="B29" s="12" t="n">
        <v>0.210526</v>
      </c>
      <c r="C29" s="16" t="n">
        <f aca="false">Otto!$D$33</f>
        <v>0.121097046413502</v>
      </c>
      <c r="D29" s="11" t="n">
        <f aca="false">Otto!$C$33+(Otto!$C$34-Otto!$C$33)*B29</f>
        <v>1250.24846408003</v>
      </c>
      <c r="E29" s="11" t="n">
        <f aca="false">Otto!$C$13*D29/C29</f>
        <v>2963.08885986967</v>
      </c>
      <c r="F29" s="16" t="n">
        <f aca="false">Otto!$C$11*LN(D29/Otto!$C$33)</f>
        <v>0.393769348324015</v>
      </c>
      <c r="G29" s="11" t="n">
        <f aca="false">C29*Otto!$C$28*1000000</f>
        <v>40.3174329703038</v>
      </c>
    </row>
    <row r="30" customFormat="false" ht="15" hidden="false" customHeight="false" outlineLevel="0" collapsed="false">
      <c r="A30" s="5" t="s">
        <v>79</v>
      </c>
      <c r="B30" s="12" t="n">
        <v>0.263158</v>
      </c>
      <c r="C30" s="16" t="n">
        <f aca="false">Otto!$D$33</f>
        <v>0.121097046413502</v>
      </c>
      <c r="D30" s="11" t="n">
        <f aca="false">Otto!$C$33+(Otto!$C$34-Otto!$C$33)*B30</f>
        <v>1382.19498218588</v>
      </c>
      <c r="E30" s="11" t="n">
        <f aca="false">Otto!$C$13*D30/C30</f>
        <v>3275.80210778053</v>
      </c>
      <c r="F30" s="16" t="n">
        <f aca="false">Otto!$C$11*LN(D30/Otto!$C$33)</f>
        <v>0.465806646988699</v>
      </c>
      <c r="G30" s="11" t="n">
        <f aca="false">C30*Otto!$C$28*1000000</f>
        <v>40.3174329703038</v>
      </c>
    </row>
    <row r="31" customFormat="false" ht="15" hidden="false" customHeight="false" outlineLevel="0" collapsed="false">
      <c r="A31" s="5" t="s">
        <v>79</v>
      </c>
      <c r="B31" s="12" t="n">
        <v>0.315789</v>
      </c>
      <c r="C31" s="16" t="n">
        <f aca="false">Otto!$D$33</f>
        <v>0.121097046413502</v>
      </c>
      <c r="D31" s="11" t="n">
        <f aca="false">Otto!$C$33+(Otto!$C$34-Otto!$C$33)*B31</f>
        <v>1514.13899332794</v>
      </c>
      <c r="E31" s="11" t="n">
        <f aca="false">Otto!$C$13*D31/C31</f>
        <v>3588.50941418722</v>
      </c>
      <c r="F31" s="16" t="n">
        <f aca="false">Otto!$C$11*LN(D31/Otto!$C$33)</f>
        <v>0.531269689425065</v>
      </c>
      <c r="G31" s="11" t="n">
        <f aca="false">C31*Otto!$C$28*1000000</f>
        <v>40.3174329703038</v>
      </c>
    </row>
    <row r="32" customFormat="false" ht="15" hidden="false" customHeight="false" outlineLevel="0" collapsed="false">
      <c r="A32" s="5" t="s">
        <v>79</v>
      </c>
      <c r="B32" s="12" t="n">
        <v>0.368421</v>
      </c>
      <c r="C32" s="16" t="n">
        <f aca="false">Otto!$D$33</f>
        <v>0.121097046413502</v>
      </c>
      <c r="D32" s="11" t="n">
        <f aca="false">Otto!$C$33+(Otto!$C$34-Otto!$C$33)*B32</f>
        <v>1646.08551143379</v>
      </c>
      <c r="E32" s="11" t="n">
        <f aca="false">Otto!$C$13*D32/C32</f>
        <v>3901.22266209808</v>
      </c>
      <c r="F32" s="16" t="n">
        <f aca="false">Otto!$C$11*LN(D32/Otto!$C$33)</f>
        <v>0.591260812201481</v>
      </c>
      <c r="G32" s="11" t="n">
        <f aca="false">C32*Otto!$C$28*1000000</f>
        <v>40.3174329703038</v>
      </c>
    </row>
    <row r="33" customFormat="false" ht="15" hidden="false" customHeight="false" outlineLevel="0" collapsed="false">
      <c r="A33" s="5" t="s">
        <v>79</v>
      </c>
      <c r="B33" s="12" t="n">
        <v>0.421053</v>
      </c>
      <c r="C33" s="16" t="n">
        <f aca="false">Otto!$D$33</f>
        <v>0.121097046413502</v>
      </c>
      <c r="D33" s="11" t="n">
        <f aca="false">Otto!$C$33+(Otto!$C$34-Otto!$C$33)*B33</f>
        <v>1778.03202953964</v>
      </c>
      <c r="E33" s="11" t="n">
        <f aca="false">Otto!$C$13*D33/C33</f>
        <v>4213.93591000895</v>
      </c>
      <c r="F33" s="16" t="n">
        <f aca="false">Otto!$C$11*LN(D33/Otto!$C$33)</f>
        <v>0.646623709523942</v>
      </c>
      <c r="G33" s="11" t="n">
        <f aca="false">C33*Otto!$C$28*1000000</f>
        <v>40.3174329703038</v>
      </c>
    </row>
    <row r="34" customFormat="false" ht="15" hidden="false" customHeight="false" outlineLevel="0" collapsed="false">
      <c r="A34" s="5" t="s">
        <v>79</v>
      </c>
      <c r="B34" s="12" t="n">
        <v>0.473684</v>
      </c>
      <c r="C34" s="16" t="n">
        <f aca="false">Otto!$D$33</f>
        <v>0.121097046413502</v>
      </c>
      <c r="D34" s="11" t="n">
        <f aca="false">Otto!$C$33+(Otto!$C$34-Otto!$C$33)*B34</f>
        <v>1909.9760406817</v>
      </c>
      <c r="E34" s="11" t="n">
        <f aca="false">Otto!$C$13*D34/C34</f>
        <v>4526.64321641563</v>
      </c>
      <c r="F34" s="16" t="n">
        <f aca="false">Otto!$C$11*LN(D34/Otto!$C$33)</f>
        <v>0.698020695939982</v>
      </c>
      <c r="G34" s="11" t="n">
        <f aca="false">C34*Otto!$C$28*1000000</f>
        <v>40.3174329703038</v>
      </c>
    </row>
    <row r="35" customFormat="false" ht="15" hidden="false" customHeight="false" outlineLevel="0" collapsed="false">
      <c r="A35" s="5" t="s">
        <v>79</v>
      </c>
      <c r="B35" s="12" t="n">
        <v>0.526316</v>
      </c>
      <c r="C35" s="16" t="n">
        <f aca="false">Otto!$D$33</f>
        <v>0.121097046413502</v>
      </c>
      <c r="D35" s="11" t="n">
        <f aca="false">Otto!$C$33+(Otto!$C$34-Otto!$C$33)*B35</f>
        <v>2041.92255878755</v>
      </c>
      <c r="E35" s="11" t="n">
        <f aca="false">Otto!$C$13*D35/C35</f>
        <v>4839.35646432649</v>
      </c>
      <c r="F35" s="16" t="n">
        <f aca="false">Otto!$C$11*LN(D35/Otto!$C$33)</f>
        <v>0.745983883579602</v>
      </c>
      <c r="G35" s="11" t="n">
        <f aca="false">C35*Otto!$C$28*1000000</f>
        <v>40.3174329703038</v>
      </c>
    </row>
    <row r="36" customFormat="false" ht="15" hidden="false" customHeight="false" outlineLevel="0" collapsed="false">
      <c r="A36" s="5" t="s">
        <v>79</v>
      </c>
      <c r="B36" s="12" t="n">
        <v>0.578947</v>
      </c>
      <c r="C36" s="16" t="n">
        <f aca="false">Otto!$D$33</f>
        <v>0.121097046413502</v>
      </c>
      <c r="D36" s="11" t="n">
        <f aca="false">Otto!$C$33+(Otto!$C$34-Otto!$C$33)*B36</f>
        <v>2173.86656992961</v>
      </c>
      <c r="E36" s="11" t="n">
        <f aca="false">Otto!$C$13*D36/C36</f>
        <v>5152.06377073318</v>
      </c>
      <c r="F36" s="16" t="n">
        <f aca="false">Otto!$C$11*LN(D36/Otto!$C$33)</f>
        <v>0.790941896307622</v>
      </c>
      <c r="G36" s="11" t="n">
        <f aca="false">C36*Otto!$C$28*1000000</f>
        <v>40.3174329703038</v>
      </c>
    </row>
    <row r="37" customFormat="false" ht="15" hidden="false" customHeight="false" outlineLevel="0" collapsed="false">
      <c r="A37" s="5" t="s">
        <v>79</v>
      </c>
      <c r="B37" s="12" t="n">
        <v>0.631579</v>
      </c>
      <c r="C37" s="16" t="n">
        <f aca="false">Otto!$D$33</f>
        <v>0.121097046413502</v>
      </c>
      <c r="D37" s="11" t="n">
        <f aca="false">Otto!$C$33+(Otto!$C$34-Otto!$C$33)*B37</f>
        <v>2305.81308803546</v>
      </c>
      <c r="E37" s="11" t="n">
        <f aca="false">Otto!$C$13*D37/C37</f>
        <v>5464.77701864404</v>
      </c>
      <c r="F37" s="16" t="n">
        <f aca="false">Otto!$C$11*LN(D37/Otto!$C$33)</f>
        <v>0.833250730201878</v>
      </c>
      <c r="G37" s="11" t="n">
        <f aca="false">C37*Otto!$C$28*1000000</f>
        <v>40.3174329703038</v>
      </c>
    </row>
    <row r="38" customFormat="false" ht="15" hidden="false" customHeight="false" outlineLevel="0" collapsed="false">
      <c r="A38" s="5" t="s">
        <v>79</v>
      </c>
      <c r="B38" s="12" t="n">
        <v>0.684211</v>
      </c>
      <c r="C38" s="16" t="n">
        <f aca="false">Otto!$D$33</f>
        <v>0.121097046413502</v>
      </c>
      <c r="D38" s="11" t="n">
        <f aca="false">Otto!$C$33+(Otto!$C$34-Otto!$C$33)*B38</f>
        <v>2437.75960614131</v>
      </c>
      <c r="E38" s="11" t="n">
        <f aca="false">Otto!$C$13*D38/C38</f>
        <v>5777.49026655491</v>
      </c>
      <c r="F38" s="16" t="n">
        <f aca="false">Otto!$C$11*LN(D38/Otto!$C$33)</f>
        <v>0.873204600826051</v>
      </c>
      <c r="G38" s="11" t="n">
        <f aca="false">C38*Otto!$C$28*1000000</f>
        <v>40.3174329703038</v>
      </c>
    </row>
    <row r="39" customFormat="false" ht="15" hidden="false" customHeight="false" outlineLevel="0" collapsed="false">
      <c r="A39" s="5" t="s">
        <v>79</v>
      </c>
      <c r="B39" s="12" t="n">
        <v>0.736842</v>
      </c>
      <c r="C39" s="16" t="n">
        <f aca="false">Otto!$D$33</f>
        <v>0.121097046413502</v>
      </c>
      <c r="D39" s="11" t="n">
        <f aca="false">Otto!$C$33+(Otto!$C$34-Otto!$C$33)*B39</f>
        <v>2569.70361728337</v>
      </c>
      <c r="E39" s="11" t="n">
        <f aca="false">Otto!$C$13*D39/C39</f>
        <v>6090.19757296159</v>
      </c>
      <c r="F39" s="16" t="n">
        <f aca="false">Otto!$C$11*LN(D39/Otto!$C$33)</f>
        <v>0.911051202893212</v>
      </c>
      <c r="G39" s="11" t="n">
        <f aca="false">C39*Otto!$C$28*1000000</f>
        <v>40.3174329703038</v>
      </c>
    </row>
    <row r="40" customFormat="false" ht="15" hidden="false" customHeight="false" outlineLevel="0" collapsed="false">
      <c r="A40" s="5" t="s">
        <v>79</v>
      </c>
      <c r="B40" s="12" t="n">
        <v>0.789474</v>
      </c>
      <c r="C40" s="16" t="n">
        <f aca="false">Otto!$D$33</f>
        <v>0.121097046413502</v>
      </c>
      <c r="D40" s="11" t="n">
        <f aca="false">Otto!$C$33+(Otto!$C$34-Otto!$C$33)*B40</f>
        <v>2701.65013538922</v>
      </c>
      <c r="E40" s="11" t="n">
        <f aca="false">Otto!$C$13*D40/C40</f>
        <v>6402.91082087246</v>
      </c>
      <c r="F40" s="16" t="n">
        <f aca="false">Otto!$C$11*LN(D40/Otto!$C$33)</f>
        <v>0.947003027659345</v>
      </c>
      <c r="G40" s="11" t="n">
        <f aca="false">C40*Otto!$C$28*1000000</f>
        <v>40.3174329703038</v>
      </c>
    </row>
    <row r="41" customFormat="false" ht="15" hidden="false" customHeight="false" outlineLevel="0" collapsed="false">
      <c r="A41" s="5" t="s">
        <v>79</v>
      </c>
      <c r="B41" s="12" t="n">
        <v>0.842105</v>
      </c>
      <c r="C41" s="16" t="n">
        <f aca="false">Otto!$D$33</f>
        <v>0.121097046413502</v>
      </c>
      <c r="D41" s="11" t="n">
        <f aca="false">Otto!$C$33+(Otto!$C$34-Otto!$C$33)*B41</f>
        <v>2833.59414653128</v>
      </c>
      <c r="E41" s="11" t="n">
        <f aca="false">Otto!$C$13*D41/C41</f>
        <v>6715.61812727914</v>
      </c>
      <c r="F41" s="16" t="n">
        <f aca="false">Otto!$C$11*LN(D41/Otto!$C$33)</f>
        <v>0.981239547112624</v>
      </c>
      <c r="G41" s="11" t="n">
        <f aca="false">C41*Otto!$C$28*1000000</f>
        <v>40.3174329703038</v>
      </c>
    </row>
    <row r="42" customFormat="false" ht="15" hidden="false" customHeight="false" outlineLevel="0" collapsed="false">
      <c r="A42" s="5" t="s">
        <v>79</v>
      </c>
      <c r="B42" s="12" t="n">
        <v>0.894737</v>
      </c>
      <c r="C42" s="16" t="n">
        <f aca="false">Otto!$D$33</f>
        <v>0.121097046413502</v>
      </c>
      <c r="D42" s="11" t="n">
        <f aca="false">Otto!$C$33+(Otto!$C$34-Otto!$C$33)*B42</f>
        <v>2965.54066463713</v>
      </c>
      <c r="E42" s="11" t="n">
        <f aca="false">Otto!$C$13*D42/C42</f>
        <v>7028.33137519</v>
      </c>
      <c r="F42" s="16" t="n">
        <f aca="false">Otto!$C$11*LN(D42/Otto!$C$33)</f>
        <v>1.01391819880442</v>
      </c>
      <c r="G42" s="11" t="n">
        <f aca="false">C42*Otto!$C$28*1000000</f>
        <v>40.3174329703038</v>
      </c>
    </row>
    <row r="43" customFormat="false" ht="15" hidden="false" customHeight="false" outlineLevel="0" collapsed="false">
      <c r="A43" s="5" t="s">
        <v>79</v>
      </c>
      <c r="B43" s="12" t="n">
        <v>0.947368</v>
      </c>
      <c r="C43" s="16" t="n">
        <f aca="false">Otto!$D$33</f>
        <v>0.121097046413502</v>
      </c>
      <c r="D43" s="11" t="n">
        <f aca="false">Otto!$C$33+(Otto!$C$34-Otto!$C$33)*B43</f>
        <v>3097.48467577919</v>
      </c>
      <c r="E43" s="11" t="n">
        <f aca="false">Otto!$C$13*D43/C43</f>
        <v>7341.03868159669</v>
      </c>
      <c r="F43" s="16" t="n">
        <f aca="false">Otto!$C$11*LN(D43/Otto!$C$33)</f>
        <v>1.04517347292056</v>
      </c>
      <c r="G43" s="11" t="n">
        <f aca="false">C43*Otto!$C$28*1000000</f>
        <v>40.3174329703038</v>
      </c>
    </row>
    <row r="44" customFormat="false" ht="15" hidden="false" customHeight="false" outlineLevel="0" collapsed="false">
      <c r="A44" s="5" t="s">
        <v>79</v>
      </c>
      <c r="B44" s="12" t="n">
        <v>1</v>
      </c>
      <c r="C44" s="16" t="n">
        <f aca="false">Otto!$D$33</f>
        <v>0.121097046413502</v>
      </c>
      <c r="D44" s="11" t="n">
        <f aca="false">Otto!$C$33+(Otto!$C$34-Otto!$C$33)*B44</f>
        <v>3229.43119388504</v>
      </c>
      <c r="E44" s="11" t="n">
        <f aca="false">Otto!$C$13*D44/C44</f>
        <v>7653.75192950755</v>
      </c>
      <c r="F44" s="16" t="n">
        <f aca="false">Otto!$C$11*LN(D44/Otto!$C$33)</f>
        <v>1.0751252978026</v>
      </c>
      <c r="G44" s="11" t="n">
        <f aca="false">C44*Otto!$C$28*1000000</f>
        <v>40.3174329703038</v>
      </c>
    </row>
    <row r="45" customFormat="false" ht="15" hidden="false" customHeight="false" outlineLevel="0" collapsed="false">
      <c r="A45" s="5" t="s">
        <v>81</v>
      </c>
      <c r="B45" s="12" t="n">
        <v>0</v>
      </c>
      <c r="C45" s="16" t="n">
        <f aca="false">Otto!$D$34+(Otto!$D$35-Otto!$D$34)*B45</f>
        <v>0.121097046413502</v>
      </c>
      <c r="D45" s="11" t="n">
        <f aca="false">Otto!$C$34*(Otto!$D$34/C45)^(Otto!$C$10-1)</f>
        <v>3229.43119388504</v>
      </c>
      <c r="E45" s="11" t="n">
        <f aca="false">Otto!$C$13*D45/C45</f>
        <v>7653.75192950755</v>
      </c>
      <c r="F45" s="16" t="n">
        <f aca="false">Otto!$E$34</f>
        <v>1.0751252978026</v>
      </c>
      <c r="G45" s="11" t="n">
        <f aca="false">C45*Otto!$C$28*1000000</f>
        <v>40.3174329703038</v>
      </c>
    </row>
    <row r="46" customFormat="false" ht="15" hidden="false" customHeight="false" outlineLevel="0" collapsed="false">
      <c r="A46" s="5" t="s">
        <v>81</v>
      </c>
      <c r="B46" s="12" t="n">
        <v>0.052632</v>
      </c>
      <c r="C46" s="16" t="n">
        <f aca="false">Otto!$D$34+(Otto!$D$35-Otto!$D$34)*B46</f>
        <v>0.172085684388186</v>
      </c>
      <c r="D46" s="11" t="n">
        <f aca="false">Otto!$C$34*(Otto!$D$34/C46)^(Otto!$C$10-1)</f>
        <v>2805.96053725509</v>
      </c>
      <c r="E46" s="11" t="n">
        <f aca="false">Otto!$C$13*D46/C46</f>
        <v>4679.70753671534</v>
      </c>
      <c r="F46" s="16" t="n">
        <f aca="false">Otto!$E$34</f>
        <v>1.0751252978026</v>
      </c>
      <c r="G46" s="11" t="n">
        <f aca="false">C46*Otto!$C$28*1000000</f>
        <v>57.293330027048</v>
      </c>
    </row>
    <row r="47" customFormat="false" ht="15" hidden="false" customHeight="false" outlineLevel="0" collapsed="false">
      <c r="A47" s="5" t="s">
        <v>81</v>
      </c>
      <c r="B47" s="12" t="n">
        <v>0.105263</v>
      </c>
      <c r="C47" s="16" t="n">
        <f aca="false">Otto!$D$34+(Otto!$D$35-Otto!$D$34)*B47</f>
        <v>0.223073353586498</v>
      </c>
      <c r="D47" s="11" t="n">
        <f aca="false">Otto!$C$34*(Otto!$D$34/C47)^(Otto!$C$10-1)</f>
        <v>2529.3001960324</v>
      </c>
      <c r="E47" s="11" t="n">
        <f aca="false">Otto!$C$13*D47/C47</f>
        <v>3254.12759789718</v>
      </c>
      <c r="F47" s="16" t="n">
        <f aca="false">Otto!$E$34</f>
        <v>1.0751252978026</v>
      </c>
      <c r="G47" s="11" t="n">
        <f aca="false">C47*Otto!$C$28*1000000</f>
        <v>74.2689045443284</v>
      </c>
    </row>
    <row r="48" customFormat="false" ht="15" hidden="false" customHeight="false" outlineLevel="0" collapsed="false">
      <c r="A48" s="5" t="s">
        <v>81</v>
      </c>
      <c r="B48" s="12" t="n">
        <v>0.157895</v>
      </c>
      <c r="C48" s="16" t="n">
        <f aca="false">Otto!$D$34+(Otto!$D$35-Otto!$D$34)*B48</f>
        <v>0.274061991561181</v>
      </c>
      <c r="D48" s="11" t="n">
        <f aca="false">Otto!$C$34*(Otto!$D$34/C48)^(Otto!$C$10-1)</f>
        <v>2329.37780179141</v>
      </c>
      <c r="E48" s="11" t="n">
        <f aca="false">Otto!$C$13*D48/C48</f>
        <v>2439.34383350963</v>
      </c>
      <c r="F48" s="16" t="n">
        <f aca="false">Otto!$E$34</f>
        <v>1.0751252978026</v>
      </c>
      <c r="G48" s="11" t="n">
        <f aca="false">C48*Otto!$C$28*1000000</f>
        <v>91.2448016010726</v>
      </c>
    </row>
    <row r="49" customFormat="false" ht="15" hidden="false" customHeight="false" outlineLevel="0" collapsed="false">
      <c r="A49" s="5" t="s">
        <v>81</v>
      </c>
      <c r="B49" s="12" t="n">
        <v>0.210526</v>
      </c>
      <c r="C49" s="16" t="n">
        <f aca="false">Otto!$D$34+(Otto!$D$35-Otto!$D$34)*B49</f>
        <v>0.325049660759494</v>
      </c>
      <c r="D49" s="11" t="n">
        <f aca="false">Otto!$C$34*(Otto!$D$34/C49)^(Otto!$C$10-1)</f>
        <v>2175.70279353136</v>
      </c>
      <c r="E49" s="11" t="n">
        <f aca="false">Otto!$C$13*D49/C49</f>
        <v>1921.01939218918</v>
      </c>
      <c r="F49" s="16" t="n">
        <f aca="false">Otto!$E$34</f>
        <v>1.0751252978026</v>
      </c>
      <c r="G49" s="11" t="n">
        <f aca="false">C49*Otto!$C$28*1000000</f>
        <v>108.220376118353</v>
      </c>
    </row>
    <row r="50" customFormat="false" ht="15" hidden="false" customHeight="false" outlineLevel="0" collapsed="false">
      <c r="A50" s="5" t="s">
        <v>81</v>
      </c>
      <c r="B50" s="12" t="n">
        <v>0.263158</v>
      </c>
      <c r="C50" s="16" t="n">
        <f aca="false">Otto!$D$34+(Otto!$D$35-Otto!$D$34)*B50</f>
        <v>0.376038298734177</v>
      </c>
      <c r="D50" s="11" t="n">
        <f aca="false">Otto!$C$34*(Otto!$D$34/C50)^(Otto!$C$10-1)</f>
        <v>2052.51634627334</v>
      </c>
      <c r="E50" s="11" t="n">
        <f aca="false">Otto!$C$13*D50/C50</f>
        <v>1566.52179675152</v>
      </c>
      <c r="F50" s="16" t="n">
        <f aca="false">Otto!$E$34</f>
        <v>1.0751252978026</v>
      </c>
      <c r="G50" s="11" t="n">
        <f aca="false">C50*Otto!$C$28*1000000</f>
        <v>125.196273175097</v>
      </c>
    </row>
    <row r="51" customFormat="false" ht="15" hidden="false" customHeight="false" outlineLevel="0" collapsed="false">
      <c r="A51" s="5" t="s">
        <v>81</v>
      </c>
      <c r="B51" s="12" t="n">
        <v>0.315789</v>
      </c>
      <c r="C51" s="16" t="n">
        <f aca="false">Otto!$D$34+(Otto!$D$35-Otto!$D$34)*B51</f>
        <v>0.427025967932489</v>
      </c>
      <c r="D51" s="11" t="n">
        <f aca="false">Otto!$C$34*(Otto!$D$34/C51)^(Otto!$C$10-1)</f>
        <v>1950.73260038057</v>
      </c>
      <c r="E51" s="11" t="n">
        <f aca="false">Otto!$C$13*D51/C51</f>
        <v>1311.06840883675</v>
      </c>
      <c r="F51" s="16" t="n">
        <f aca="false">Otto!$E$34</f>
        <v>1.0751252978026</v>
      </c>
      <c r="G51" s="11" t="n">
        <f aca="false">C51*Otto!$C$28*1000000</f>
        <v>142.171847692378</v>
      </c>
    </row>
    <row r="52" customFormat="false" ht="15" hidden="false" customHeight="false" outlineLevel="0" collapsed="false">
      <c r="A52" s="5" t="s">
        <v>81</v>
      </c>
      <c r="B52" s="12" t="n">
        <v>0.368421</v>
      </c>
      <c r="C52" s="16" t="n">
        <f aca="false">Otto!$D$34+(Otto!$D$35-Otto!$D$34)*B52</f>
        <v>0.478014605907173</v>
      </c>
      <c r="D52" s="11" t="n">
        <f aca="false">Otto!$C$34*(Otto!$D$34/C52)^(Otto!$C$10-1)</f>
        <v>1864.67431847191</v>
      </c>
      <c r="E52" s="11" t="n">
        <f aca="false">Otto!$C$13*D52/C52</f>
        <v>1119.55058022926</v>
      </c>
      <c r="F52" s="16" t="n">
        <f aca="false">Otto!$E$34</f>
        <v>1.0751252978026</v>
      </c>
      <c r="G52" s="11" t="n">
        <f aca="false">C52*Otto!$C$28*1000000</f>
        <v>159.147744749122</v>
      </c>
    </row>
    <row r="53" customFormat="false" ht="15" hidden="false" customHeight="false" outlineLevel="0" collapsed="false">
      <c r="A53" s="5" t="s">
        <v>81</v>
      </c>
      <c r="B53" s="12" t="n">
        <v>0.421053</v>
      </c>
      <c r="C53" s="16" t="n">
        <f aca="false">Otto!$D$34+(Otto!$D$35-Otto!$D$34)*B53</f>
        <v>0.529003243881857</v>
      </c>
      <c r="D53" s="11" t="n">
        <f aca="false">Otto!$C$34*(Otto!$D$34/C53)^(Otto!$C$10-1)</f>
        <v>1790.5898656144</v>
      </c>
      <c r="E53" s="11" t="n">
        <f aca="false">Otto!$C$13*D53/C53</f>
        <v>971.448280090513</v>
      </c>
      <c r="F53" s="16" t="n">
        <f aca="false">Otto!$E$34</f>
        <v>1.0751252978026</v>
      </c>
      <c r="G53" s="11" t="n">
        <f aca="false">C53*Otto!$C$28*1000000</f>
        <v>176.123641805866</v>
      </c>
    </row>
    <row r="54" customFormat="false" ht="15" hidden="false" customHeight="false" outlineLevel="0" collapsed="false">
      <c r="A54" s="5" t="s">
        <v>81</v>
      </c>
      <c r="B54" s="12" t="n">
        <v>0.473684</v>
      </c>
      <c r="C54" s="16" t="n">
        <f aca="false">Otto!$D$34+(Otto!$D$35-Otto!$D$34)*B54</f>
        <v>0.579990913080169</v>
      </c>
      <c r="D54" s="11" t="n">
        <f aca="false">Otto!$C$34*(Otto!$D$34/C54)^(Otto!$C$10-1)</f>
        <v>1725.88152766442</v>
      </c>
      <c r="E54" s="11" t="n">
        <f aca="false">Otto!$C$13*D54/C54</f>
        <v>854.027170545036</v>
      </c>
      <c r="F54" s="16" t="n">
        <f aca="false">Otto!$E$34</f>
        <v>1.0751252978026</v>
      </c>
      <c r="G54" s="11" t="n">
        <f aca="false">C54*Otto!$C$28*1000000</f>
        <v>193.099216323147</v>
      </c>
    </row>
    <row r="55" customFormat="false" ht="15" hidden="false" customHeight="false" outlineLevel="0" collapsed="false">
      <c r="A55" s="5" t="s">
        <v>81</v>
      </c>
      <c r="B55" s="12" t="n">
        <v>0.526316</v>
      </c>
      <c r="C55" s="16" t="n">
        <f aca="false">Otto!$D$34+(Otto!$D$35-Otto!$D$34)*B55</f>
        <v>0.630979551054852</v>
      </c>
      <c r="D55" s="11" t="n">
        <f aca="false">Otto!$C$34*(Otto!$D$34/C55)^(Otto!$C$10-1)</f>
        <v>1668.68108190799</v>
      </c>
      <c r="E55" s="11" t="n">
        <f aca="false">Otto!$C$13*D55/C55</f>
        <v>758.996816468875</v>
      </c>
      <c r="F55" s="16" t="n">
        <f aca="false">Otto!$E$34</f>
        <v>1.0751252978026</v>
      </c>
      <c r="G55" s="11" t="n">
        <f aca="false">C55*Otto!$C$28*1000000</f>
        <v>210.075113379891</v>
      </c>
    </row>
    <row r="56" customFormat="false" ht="15" hidden="false" customHeight="false" outlineLevel="0" collapsed="false">
      <c r="A56" s="5" t="s">
        <v>81</v>
      </c>
      <c r="B56" s="12" t="n">
        <v>0.578947</v>
      </c>
      <c r="C56" s="16" t="n">
        <f aca="false">Otto!$D$34+(Otto!$D$35-Otto!$D$34)*B56</f>
        <v>0.681967220253165</v>
      </c>
      <c r="D56" s="11" t="n">
        <f aca="false">Otto!$C$34*(Otto!$D$34/C56)^(Otto!$C$10-1)</f>
        <v>1617.61086821563</v>
      </c>
      <c r="E56" s="11" t="n">
        <f aca="false">Otto!$C$13*D56/C56</f>
        <v>680.757528207208</v>
      </c>
      <c r="F56" s="16" t="n">
        <f aca="false">Otto!$E$34</f>
        <v>1.0751252978026</v>
      </c>
      <c r="G56" s="11" t="n">
        <f aca="false">C56*Otto!$C$28*1000000</f>
        <v>227.050687897171</v>
      </c>
    </row>
    <row r="57" customFormat="false" ht="15" hidden="false" customHeight="false" outlineLevel="0" collapsed="false">
      <c r="A57" s="5" t="s">
        <v>81</v>
      </c>
      <c r="B57" s="12" t="n">
        <v>0.631579</v>
      </c>
      <c r="C57" s="16" t="n">
        <f aca="false">Otto!$D$34+(Otto!$D$35-Otto!$D$34)*B57</f>
        <v>0.732955858227848</v>
      </c>
      <c r="D57" s="11" t="n">
        <f aca="false">Otto!$C$34*(Otto!$D$34/C57)^(Otto!$C$10-1)</f>
        <v>1571.62282695737</v>
      </c>
      <c r="E57" s="11" t="n">
        <f aca="false">Otto!$C$13*D57/C57</f>
        <v>615.392791084766</v>
      </c>
      <c r="F57" s="16" t="n">
        <f aca="false">Otto!$E$34</f>
        <v>1.0751252978026</v>
      </c>
      <c r="G57" s="11" t="n">
        <f aca="false">C57*Otto!$C$28*1000000</f>
        <v>244.026584953916</v>
      </c>
    </row>
    <row r="58" customFormat="false" ht="15" hidden="false" customHeight="false" outlineLevel="0" collapsed="false">
      <c r="A58" s="5" t="s">
        <v>81</v>
      </c>
      <c r="B58" s="12" t="n">
        <v>0.684211</v>
      </c>
      <c r="C58" s="16" t="n">
        <f aca="false">Otto!$D$34+(Otto!$D$35-Otto!$D$34)*B58</f>
        <v>0.783944496202532</v>
      </c>
      <c r="D58" s="11" t="n">
        <f aca="false">Otto!$C$34*(Otto!$D$34/C58)^(Otto!$C$10-1)</f>
        <v>1529.90805087932</v>
      </c>
      <c r="E58" s="11" t="n">
        <f aca="false">Otto!$C$13*D58/C58</f>
        <v>560.095278083218</v>
      </c>
      <c r="F58" s="16" t="n">
        <f aca="false">Otto!$E$34</f>
        <v>1.0751252978026</v>
      </c>
      <c r="G58" s="11" t="n">
        <f aca="false">C58*Otto!$C$28*1000000</f>
        <v>261.00248201066</v>
      </c>
    </row>
    <row r="59" customFormat="false" ht="15" hidden="false" customHeight="false" outlineLevel="0" collapsed="false">
      <c r="A59" s="5" t="s">
        <v>81</v>
      </c>
      <c r="B59" s="12" t="n">
        <v>0.736842</v>
      </c>
      <c r="C59" s="16" t="n">
        <f aca="false">Otto!$D$34+(Otto!$D$35-Otto!$D$34)*B59</f>
        <v>0.834932165400844</v>
      </c>
      <c r="D59" s="11" t="n">
        <f aca="false">Otto!$C$34*(Otto!$D$34/C59)^(Otto!$C$10-1)</f>
        <v>1491.82877331738</v>
      </c>
      <c r="E59" s="11" t="n">
        <f aca="false">Otto!$C$13*D59/C59</f>
        <v>512.801968452773</v>
      </c>
      <c r="F59" s="16" t="n">
        <f aca="false">Otto!$E$34</f>
        <v>1.0751252978026</v>
      </c>
      <c r="G59" s="11" t="n">
        <f aca="false">C59*Otto!$C$28*1000000</f>
        <v>277.97805652794</v>
      </c>
    </row>
    <row r="60" customFormat="false" ht="15" hidden="false" customHeight="false" outlineLevel="0" collapsed="false">
      <c r="A60" s="5" t="s">
        <v>81</v>
      </c>
      <c r="B60" s="12" t="n">
        <v>0.789474</v>
      </c>
      <c r="C60" s="16" t="n">
        <f aca="false">Otto!$D$34+(Otto!$D$35-Otto!$D$34)*B60</f>
        <v>0.885920803375528</v>
      </c>
      <c r="D60" s="11" t="n">
        <f aca="false">Otto!$C$34*(Otto!$D$34/C60)^(Otto!$C$10-1)</f>
        <v>1456.87233427015</v>
      </c>
      <c r="E60" s="11" t="n">
        <f aca="false">Otto!$C$13*D60/C60</f>
        <v>471.963586747718</v>
      </c>
      <c r="F60" s="16" t="n">
        <f aca="false">Otto!$E$34</f>
        <v>1.0751252978026</v>
      </c>
      <c r="G60" s="11" t="n">
        <f aca="false">C60*Otto!$C$28*1000000</f>
        <v>294.953953584684</v>
      </c>
    </row>
    <row r="61" customFormat="false" ht="15" hidden="false" customHeight="false" outlineLevel="0" collapsed="false">
      <c r="A61" s="5" t="s">
        <v>81</v>
      </c>
      <c r="B61" s="12" t="n">
        <v>0.842105</v>
      </c>
      <c r="C61" s="16" t="n">
        <f aca="false">Otto!$D$34+(Otto!$D$35-Otto!$D$34)*B61</f>
        <v>0.93690847257384</v>
      </c>
      <c r="D61" s="11" t="n">
        <f aca="false">Otto!$C$34*(Otto!$D$34/C61)^(Otto!$C$10-1)</f>
        <v>1424.62509312412</v>
      </c>
      <c r="E61" s="11" t="n">
        <f aca="false">Otto!$C$13*D61/C61</f>
        <v>436.400580948315</v>
      </c>
      <c r="F61" s="16" t="n">
        <f aca="false">Otto!$E$34</f>
        <v>1.0751252978026</v>
      </c>
      <c r="G61" s="11" t="n">
        <f aca="false">C61*Otto!$C$28*1000000</f>
        <v>311.929528101965</v>
      </c>
    </row>
    <row r="62" customFormat="false" ht="15" hidden="false" customHeight="false" outlineLevel="0" collapsed="false">
      <c r="A62" s="5" t="s">
        <v>81</v>
      </c>
      <c r="B62" s="12" t="n">
        <v>0.894737</v>
      </c>
      <c r="C62" s="16" t="n">
        <f aca="false">Otto!$D$34+(Otto!$D$35-Otto!$D$34)*B62</f>
        <v>0.987897110548523</v>
      </c>
      <c r="D62" s="11" t="n">
        <f aca="false">Otto!$C$34*(Otto!$D$34/C62)^(Otto!$C$10-1)</f>
        <v>1394.74486172604</v>
      </c>
      <c r="E62" s="11" t="n">
        <f aca="false">Otto!$C$13*D62/C62</f>
        <v>405.195815476283</v>
      </c>
      <c r="F62" s="16" t="n">
        <f aca="false">Otto!$E$34</f>
        <v>1.0751252978026</v>
      </c>
      <c r="G62" s="11" t="n">
        <f aca="false">C62*Otto!$C$28*1000000</f>
        <v>328.905425158709</v>
      </c>
    </row>
    <row r="63" customFormat="false" ht="15" hidden="false" customHeight="false" outlineLevel="0" collapsed="false">
      <c r="A63" s="5" t="s">
        <v>81</v>
      </c>
      <c r="B63" s="12" t="n">
        <v>0.947368</v>
      </c>
      <c r="C63" s="16" t="n">
        <f aca="false">Otto!$D$34+(Otto!$D$35-Otto!$D$34)*B63</f>
        <v>1.03888477974684</v>
      </c>
      <c r="D63" s="11" t="n">
        <f aca="false">Otto!$C$34*(Otto!$D$34/C63)^(Otto!$C$10-1)</f>
        <v>1366.94960158006</v>
      </c>
      <c r="E63" s="11" t="n">
        <f aca="false">Otto!$C$13*D63/C63</f>
        <v>377.630458450916</v>
      </c>
      <c r="F63" s="16" t="n">
        <f aca="false">Otto!$E$34</f>
        <v>1.0751252978026</v>
      </c>
      <c r="G63" s="11" t="n">
        <f aca="false">C63*Otto!$C$28*1000000</f>
        <v>345.88099967599</v>
      </c>
    </row>
    <row r="64" customFormat="false" ht="15" hidden="false" customHeight="false" outlineLevel="0" collapsed="false">
      <c r="A64" s="5" t="s">
        <v>81</v>
      </c>
      <c r="B64" s="12" t="n">
        <v>1</v>
      </c>
      <c r="C64" s="16" t="n">
        <f aca="false">Otto!$D$34+(Otto!$D$35-Otto!$D$34)*B64</f>
        <v>1.08987341772152</v>
      </c>
      <c r="D64" s="11" t="n">
        <f aca="false">Otto!$C$34*(Otto!$D$34/C64)^(Otto!$C$10-1)</f>
        <v>1341.00078519403</v>
      </c>
      <c r="E64" s="11" t="n">
        <f aca="false">Otto!$C$13*D64/C64</f>
        <v>353.13020676776</v>
      </c>
      <c r="F64" s="16" t="n">
        <f aca="false">Otto!$E$34</f>
        <v>1.0751252978026</v>
      </c>
      <c r="G64" s="11" t="n">
        <f aca="false">C64*Otto!$C$28*1000000</f>
        <v>362.856896732734</v>
      </c>
    </row>
    <row r="65" customFormat="false" ht="15" hidden="false" customHeight="false" outlineLevel="0" collapsed="false">
      <c r="A65" s="5" t="s">
        <v>83</v>
      </c>
      <c r="B65" s="12" t="n">
        <v>0</v>
      </c>
      <c r="C65" s="16" t="n">
        <f aca="false">Otto!$D$32</f>
        <v>1.08987341772152</v>
      </c>
      <c r="D65" s="11" t="n">
        <f aca="false">Otto!$C$35+(Otto!$C$32-Otto!$C$35)*B65</f>
        <v>1341.00078519403</v>
      </c>
      <c r="E65" s="11" t="n">
        <f aca="false">Otto!$C$13*D65/C65</f>
        <v>353.13020676776</v>
      </c>
      <c r="F65" s="16" t="n">
        <f aca="false">Otto!$E$34+Otto!$C$11*LN(D65/Otto!$C$35)</f>
        <v>1.0751252978026</v>
      </c>
      <c r="G65" s="11" t="n">
        <f aca="false">C65*Otto!$C$28*1000000</f>
        <v>362.856896732734</v>
      </c>
    </row>
    <row r="66" customFormat="false" ht="15" hidden="false" customHeight="false" outlineLevel="0" collapsed="false">
      <c r="A66" s="5" t="s">
        <v>83</v>
      </c>
      <c r="B66" s="12" t="n">
        <v>0.052632</v>
      </c>
      <c r="C66" s="16" t="n">
        <f aca="false">Otto!$D$32</f>
        <v>1.08987341772152</v>
      </c>
      <c r="D66" s="11" t="n">
        <f aca="false">Otto!$C$35+(Otto!$C$32-Otto!$C$35)*B66</f>
        <v>1286.21083186769</v>
      </c>
      <c r="E66" s="11" t="n">
        <f aca="false">Otto!$C$13*D66/C66</f>
        <v>338.702185725159</v>
      </c>
      <c r="F66" s="16" t="n">
        <f aca="false">Otto!$E$34+Otto!$C$11*LN(D66/Otto!$C$35)</f>
        <v>1.04517347292056</v>
      </c>
      <c r="G66" s="11" t="n">
        <f aca="false">C66*Otto!$C$28*1000000</f>
        <v>362.856896732734</v>
      </c>
    </row>
    <row r="67" customFormat="false" ht="15" hidden="false" customHeight="false" outlineLevel="0" collapsed="false">
      <c r="A67" s="5" t="s">
        <v>83</v>
      </c>
      <c r="B67" s="12" t="n">
        <v>0.105263</v>
      </c>
      <c r="C67" s="16" t="n">
        <f aca="false">Otto!$D$32</f>
        <v>1.08987341772152</v>
      </c>
      <c r="D67" s="11" t="n">
        <f aca="false">Otto!$C$35+(Otto!$C$32-Otto!$C$35)*B67</f>
        <v>1231.42191954215</v>
      </c>
      <c r="E67" s="11" t="n">
        <f aca="false">Otto!$C$13*D67/C67</f>
        <v>324.274438812765</v>
      </c>
      <c r="F67" s="16" t="n">
        <f aca="false">Otto!$E$34+Otto!$C$11*LN(D67/Otto!$C$35)</f>
        <v>1.01391819880442</v>
      </c>
      <c r="G67" s="11" t="n">
        <f aca="false">C67*Otto!$C$28*1000000</f>
        <v>362.856896732734</v>
      </c>
    </row>
    <row r="68" customFormat="false" ht="15" hidden="false" customHeight="false" outlineLevel="0" collapsed="false">
      <c r="A68" s="5" t="s">
        <v>83</v>
      </c>
      <c r="B68" s="12" t="n">
        <v>0.157895</v>
      </c>
      <c r="C68" s="16" t="n">
        <f aca="false">Otto!$D$32</f>
        <v>1.08987341772152</v>
      </c>
      <c r="D68" s="11" t="n">
        <f aca="false">Otto!$C$35+(Otto!$C$32-Otto!$C$35)*B68</f>
        <v>1176.63196621582</v>
      </c>
      <c r="E68" s="11" t="n">
        <f aca="false">Otto!$C$13*D68/C68</f>
        <v>309.846417770165</v>
      </c>
      <c r="F68" s="16" t="n">
        <f aca="false">Otto!$E$34+Otto!$C$11*LN(D68/Otto!$C$35)</f>
        <v>0.981239547112624</v>
      </c>
      <c r="G68" s="11" t="n">
        <f aca="false">C68*Otto!$C$28*1000000</f>
        <v>362.856896732734</v>
      </c>
    </row>
    <row r="69" customFormat="false" ht="15" hidden="false" customHeight="false" outlineLevel="0" collapsed="false">
      <c r="A69" s="5" t="s">
        <v>83</v>
      </c>
      <c r="B69" s="12" t="n">
        <v>0.210526</v>
      </c>
      <c r="C69" s="16" t="n">
        <f aca="false">Otto!$D$32</f>
        <v>1.08987341772152</v>
      </c>
      <c r="D69" s="11" t="n">
        <f aca="false">Otto!$C$35+(Otto!$C$32-Otto!$C$35)*B69</f>
        <v>1121.84305389027</v>
      </c>
      <c r="E69" s="11" t="n">
        <f aca="false">Otto!$C$13*D69/C69</f>
        <v>295.418670857771</v>
      </c>
      <c r="F69" s="16" t="n">
        <f aca="false">Otto!$E$34+Otto!$C$11*LN(D69/Otto!$C$35)</f>
        <v>0.947003027659345</v>
      </c>
      <c r="G69" s="11" t="n">
        <f aca="false">C69*Otto!$C$28*1000000</f>
        <v>362.856896732734</v>
      </c>
    </row>
    <row r="70" customFormat="false" ht="15" hidden="false" customHeight="false" outlineLevel="0" collapsed="false">
      <c r="A70" s="5" t="s">
        <v>83</v>
      </c>
      <c r="B70" s="12" t="n">
        <v>0.263158</v>
      </c>
      <c r="C70" s="16" t="n">
        <f aca="false">Otto!$D$32</f>
        <v>1.08987341772152</v>
      </c>
      <c r="D70" s="11" t="n">
        <f aca="false">Otto!$C$35+(Otto!$C$32-Otto!$C$35)*B70</f>
        <v>1067.05310056394</v>
      </c>
      <c r="E70" s="11" t="n">
        <f aca="false">Otto!$C$13*D70/C70</f>
        <v>280.99064981517</v>
      </c>
      <c r="F70" s="16" t="n">
        <f aca="false">Otto!$E$34+Otto!$C$11*LN(D70/Otto!$C$35)</f>
        <v>0.911051202893212</v>
      </c>
      <c r="G70" s="11" t="n">
        <f aca="false">C70*Otto!$C$28*1000000</f>
        <v>362.856896732734</v>
      </c>
    </row>
    <row r="71" customFormat="false" ht="15" hidden="false" customHeight="false" outlineLevel="0" collapsed="false">
      <c r="A71" s="5" t="s">
        <v>83</v>
      </c>
      <c r="B71" s="12" t="n">
        <v>0.315789</v>
      </c>
      <c r="C71" s="16" t="n">
        <f aca="false">Otto!$D$32</f>
        <v>1.08987341772152</v>
      </c>
      <c r="D71" s="11" t="n">
        <f aca="false">Otto!$C$35+(Otto!$C$32-Otto!$C$35)*B71</f>
        <v>1012.26418823839</v>
      </c>
      <c r="E71" s="11" t="n">
        <f aca="false">Otto!$C$13*D71/C71</f>
        <v>266.562902902776</v>
      </c>
      <c r="F71" s="16" t="n">
        <f aca="false">Otto!$E$34+Otto!$C$11*LN(D71/Otto!$C$35)</f>
        <v>0.873204600826051</v>
      </c>
      <c r="G71" s="11" t="n">
        <f aca="false">C71*Otto!$C$28*1000000</f>
        <v>362.856896732734</v>
      </c>
    </row>
    <row r="72" customFormat="false" ht="15" hidden="false" customHeight="false" outlineLevel="0" collapsed="false">
      <c r="A72" s="5" t="s">
        <v>83</v>
      </c>
      <c r="B72" s="12" t="n">
        <v>0.368421</v>
      </c>
      <c r="C72" s="16" t="n">
        <f aca="false">Otto!$D$32</f>
        <v>1.08987341772152</v>
      </c>
      <c r="D72" s="11" t="n">
        <f aca="false">Otto!$C$35+(Otto!$C$32-Otto!$C$35)*B72</f>
        <v>957.474234912058</v>
      </c>
      <c r="E72" s="11" t="n">
        <f aca="false">Otto!$C$13*D72/C72</f>
        <v>252.134881860175</v>
      </c>
      <c r="F72" s="16" t="n">
        <f aca="false">Otto!$E$34+Otto!$C$11*LN(D72/Otto!$C$35)</f>
        <v>0.833250730201878</v>
      </c>
      <c r="G72" s="11" t="n">
        <f aca="false">C72*Otto!$C$28*1000000</f>
        <v>362.856896732734</v>
      </c>
    </row>
    <row r="73" customFormat="false" ht="15" hidden="false" customHeight="false" outlineLevel="0" collapsed="false">
      <c r="A73" s="5" t="s">
        <v>83</v>
      </c>
      <c r="B73" s="12" t="n">
        <v>0.421053</v>
      </c>
      <c r="C73" s="16" t="n">
        <f aca="false">Otto!$D$32</f>
        <v>1.08987341772152</v>
      </c>
      <c r="D73" s="11" t="n">
        <f aca="false">Otto!$C$35+(Otto!$C$32-Otto!$C$35)*B73</f>
        <v>902.684281585726</v>
      </c>
      <c r="E73" s="11" t="n">
        <f aca="false">Otto!$C$13*D73/C73</f>
        <v>237.706860817574</v>
      </c>
      <c r="F73" s="16" t="n">
        <f aca="false">Otto!$E$34+Otto!$C$11*LN(D73/Otto!$C$35)</f>
        <v>0.790941896307622</v>
      </c>
      <c r="G73" s="11" t="n">
        <f aca="false">C73*Otto!$C$28*1000000</f>
        <v>362.856896732734</v>
      </c>
    </row>
    <row r="74" customFormat="false" ht="15" hidden="false" customHeight="false" outlineLevel="0" collapsed="false">
      <c r="A74" s="5" t="s">
        <v>83</v>
      </c>
      <c r="B74" s="12" t="n">
        <v>0.473684</v>
      </c>
      <c r="C74" s="16" t="n">
        <f aca="false">Otto!$D$32</f>
        <v>1.08987341772152</v>
      </c>
      <c r="D74" s="11" t="n">
        <f aca="false">Otto!$C$35+(Otto!$C$32-Otto!$C$35)*B74</f>
        <v>847.895369260179</v>
      </c>
      <c r="E74" s="11" t="n">
        <f aca="false">Otto!$C$13*D74/C74</f>
        <v>223.27911390518</v>
      </c>
      <c r="F74" s="16" t="n">
        <f aca="false">Otto!$E$34+Otto!$C$11*LN(D74/Otto!$C$35)</f>
        <v>0.745983883579602</v>
      </c>
      <c r="G74" s="11" t="n">
        <f aca="false">C74*Otto!$C$28*1000000</f>
        <v>362.856896732734</v>
      </c>
    </row>
    <row r="75" customFormat="false" ht="15" hidden="false" customHeight="false" outlineLevel="0" collapsed="false">
      <c r="A75" s="5" t="s">
        <v>83</v>
      </c>
      <c r="B75" s="12" t="n">
        <v>0.526316</v>
      </c>
      <c r="C75" s="16" t="n">
        <f aca="false">Otto!$D$32</f>
        <v>1.08987341772152</v>
      </c>
      <c r="D75" s="11" t="n">
        <f aca="false">Otto!$C$35+(Otto!$C$32-Otto!$C$35)*B75</f>
        <v>793.105415933847</v>
      </c>
      <c r="E75" s="11" t="n">
        <f aca="false">Otto!$C$13*D75/C75</f>
        <v>208.85109286258</v>
      </c>
      <c r="F75" s="16" t="n">
        <f aca="false">Otto!$E$34+Otto!$C$11*LN(D75/Otto!$C$35)</f>
        <v>0.698020695939982</v>
      </c>
      <c r="G75" s="11" t="n">
        <f aca="false">C75*Otto!$C$28*1000000</f>
        <v>362.856896732734</v>
      </c>
    </row>
    <row r="76" customFormat="false" ht="15" hidden="false" customHeight="false" outlineLevel="0" collapsed="false">
      <c r="A76" s="5" t="s">
        <v>83</v>
      </c>
      <c r="B76" s="12" t="n">
        <v>0.578947</v>
      </c>
      <c r="C76" s="16" t="n">
        <f aca="false">Otto!$D$32</f>
        <v>1.08987341772152</v>
      </c>
      <c r="D76" s="11" t="n">
        <f aca="false">Otto!$C$35+(Otto!$C$32-Otto!$C$35)*B76</f>
        <v>738.3165036083</v>
      </c>
      <c r="E76" s="11" t="n">
        <f aca="false">Otto!$C$13*D76/C76</f>
        <v>194.423345950186</v>
      </c>
      <c r="F76" s="16" t="n">
        <f aca="false">Otto!$E$34+Otto!$C$11*LN(D76/Otto!$C$35)</f>
        <v>0.646623709523942</v>
      </c>
      <c r="G76" s="11" t="n">
        <f aca="false">C76*Otto!$C$28*1000000</f>
        <v>362.856896732734</v>
      </c>
    </row>
    <row r="77" customFormat="false" ht="15" hidden="false" customHeight="false" outlineLevel="0" collapsed="false">
      <c r="A77" s="5" t="s">
        <v>83</v>
      </c>
      <c r="B77" s="12" t="n">
        <v>0.631579</v>
      </c>
      <c r="C77" s="16" t="n">
        <f aca="false">Otto!$D$32</f>
        <v>1.08987341772152</v>
      </c>
      <c r="D77" s="11" t="n">
        <f aca="false">Otto!$C$35+(Otto!$C$32-Otto!$C$35)*B77</f>
        <v>683.526550281968</v>
      </c>
      <c r="E77" s="11" t="n">
        <f aca="false">Otto!$C$13*D77/C77</f>
        <v>179.995324907585</v>
      </c>
      <c r="F77" s="16" t="n">
        <f aca="false">Otto!$E$34+Otto!$C$11*LN(D77/Otto!$C$35)</f>
        <v>0.591260812201481</v>
      </c>
      <c r="G77" s="11" t="n">
        <f aca="false">C77*Otto!$C$28*1000000</f>
        <v>362.856896732734</v>
      </c>
    </row>
    <row r="78" customFormat="false" ht="15" hidden="false" customHeight="false" outlineLevel="0" collapsed="false">
      <c r="A78" s="5" t="s">
        <v>83</v>
      </c>
      <c r="B78" s="12" t="n">
        <v>0.684211</v>
      </c>
      <c r="C78" s="16" t="n">
        <f aca="false">Otto!$D$32</f>
        <v>1.08987341772152</v>
      </c>
      <c r="D78" s="11" t="n">
        <f aca="false">Otto!$C$35+(Otto!$C$32-Otto!$C$35)*B78</f>
        <v>628.736596955636</v>
      </c>
      <c r="E78" s="11" t="n">
        <f aca="false">Otto!$C$13*D78/C78</f>
        <v>165.567303864984</v>
      </c>
      <c r="F78" s="16" t="n">
        <f aca="false">Otto!$E$34+Otto!$C$11*LN(D78/Otto!$C$35)</f>
        <v>0.531269689425064</v>
      </c>
      <c r="G78" s="11" t="n">
        <f aca="false">C78*Otto!$C$28*1000000</f>
        <v>362.856896732734</v>
      </c>
    </row>
    <row r="79" customFormat="false" ht="15" hidden="false" customHeight="false" outlineLevel="0" collapsed="false">
      <c r="A79" s="5" t="s">
        <v>83</v>
      </c>
      <c r="B79" s="12" t="n">
        <v>0.736842</v>
      </c>
      <c r="C79" s="16" t="n">
        <f aca="false">Otto!$D$32</f>
        <v>1.08987341772152</v>
      </c>
      <c r="D79" s="11" t="n">
        <f aca="false">Otto!$C$35+(Otto!$C$32-Otto!$C$35)*B79</f>
        <v>573.94768463009</v>
      </c>
      <c r="E79" s="11" t="n">
        <f aca="false">Otto!$C$13*D79/C79</f>
        <v>151.13955695259</v>
      </c>
      <c r="F79" s="16" t="n">
        <f aca="false">Otto!$E$34+Otto!$C$11*LN(D79/Otto!$C$35)</f>
        <v>0.465806646988699</v>
      </c>
      <c r="G79" s="11" t="n">
        <f aca="false">C79*Otto!$C$28*1000000</f>
        <v>362.856896732734</v>
      </c>
    </row>
    <row r="80" customFormat="false" ht="15" hidden="false" customHeight="false" outlineLevel="0" collapsed="false">
      <c r="A80" s="5" t="s">
        <v>83</v>
      </c>
      <c r="B80" s="12" t="n">
        <v>0.789474</v>
      </c>
      <c r="C80" s="16" t="n">
        <f aca="false">Otto!$D$32</f>
        <v>1.08987341772152</v>
      </c>
      <c r="D80" s="11" t="n">
        <f aca="false">Otto!$C$35+(Otto!$C$32-Otto!$C$35)*B80</f>
        <v>519.157731303758</v>
      </c>
      <c r="E80" s="11" t="n">
        <f aca="false">Otto!$C$13*D80/C80</f>
        <v>136.711535909989</v>
      </c>
      <c r="F80" s="16" t="n">
        <f aca="false">Otto!$E$34+Otto!$C$11*LN(D80/Otto!$C$35)</f>
        <v>0.393769348324015</v>
      </c>
      <c r="G80" s="11" t="n">
        <f aca="false">C80*Otto!$C$28*1000000</f>
        <v>362.856896732734</v>
      </c>
    </row>
    <row r="81" customFormat="false" ht="15" hidden="false" customHeight="false" outlineLevel="0" collapsed="false">
      <c r="A81" s="5" t="s">
        <v>83</v>
      </c>
      <c r="B81" s="12" t="n">
        <v>0.842105</v>
      </c>
      <c r="C81" s="16" t="n">
        <f aca="false">Otto!$D$32</f>
        <v>1.08987341772152</v>
      </c>
      <c r="D81" s="11" t="n">
        <f aca="false">Otto!$C$35+(Otto!$C$32-Otto!$C$35)*B81</f>
        <v>464.368818978211</v>
      </c>
      <c r="E81" s="11" t="n">
        <f aca="false">Otto!$C$13*D81/C81</f>
        <v>122.283788997595</v>
      </c>
      <c r="F81" s="16" t="n">
        <f aca="false">Otto!$E$34+Otto!$C$11*LN(D81/Otto!$C$35)</f>
        <v>0.313691780567552</v>
      </c>
      <c r="G81" s="11" t="n">
        <f aca="false">C81*Otto!$C$28*1000000</f>
        <v>362.856896732734</v>
      </c>
    </row>
    <row r="82" customFormat="false" ht="15" hidden="false" customHeight="false" outlineLevel="0" collapsed="false">
      <c r="A82" s="5" t="s">
        <v>83</v>
      </c>
      <c r="B82" s="12" t="n">
        <v>0.894737</v>
      </c>
      <c r="C82" s="16" t="n">
        <f aca="false">Otto!$D$32</f>
        <v>1.08987341772152</v>
      </c>
      <c r="D82" s="11" t="n">
        <f aca="false">Otto!$C$35+(Otto!$C$32-Otto!$C$35)*B82</f>
        <v>409.578865651879</v>
      </c>
      <c r="E82" s="11" t="n">
        <f aca="false">Otto!$C$13*D82/C82</f>
        <v>107.855767954995</v>
      </c>
      <c r="F82" s="16" t="n">
        <f aca="false">Otto!$E$34+Otto!$C$11*LN(D82/Otto!$C$35)</f>
        <v>0.223547146149564</v>
      </c>
      <c r="G82" s="11" t="n">
        <f aca="false">C82*Otto!$C$28*1000000</f>
        <v>362.856896732734</v>
      </c>
    </row>
    <row r="83" customFormat="false" ht="15" hidden="false" customHeight="false" outlineLevel="0" collapsed="false">
      <c r="A83" s="5" t="s">
        <v>83</v>
      </c>
      <c r="B83" s="12" t="n">
        <v>0.947368</v>
      </c>
      <c r="C83" s="16" t="n">
        <f aca="false">Otto!$D$32</f>
        <v>1.08987341772152</v>
      </c>
      <c r="D83" s="11" t="n">
        <f aca="false">Otto!$C$35+(Otto!$C$32-Otto!$C$35)*B83</f>
        <v>354.789953326332</v>
      </c>
      <c r="E83" s="11" t="n">
        <f aca="false">Otto!$C$13*D83/C83</f>
        <v>93.4280210426008</v>
      </c>
      <c r="F83" s="16" t="n">
        <f aca="false">Otto!$E$34+Otto!$C$11*LN(D83/Otto!$C$35)</f>
        <v>0.120439803516173</v>
      </c>
      <c r="G83" s="11" t="n">
        <f aca="false">C83*Otto!$C$28*1000000</f>
        <v>362.856896732734</v>
      </c>
    </row>
    <row r="84" customFormat="false" ht="15" hidden="false" customHeight="false" outlineLevel="0" collapsed="false">
      <c r="A84" s="5" t="s">
        <v>83</v>
      </c>
      <c r="B84" s="12" t="n">
        <v>1</v>
      </c>
      <c r="C84" s="16" t="n">
        <f aca="false">Otto!$D$32</f>
        <v>1.08987341772152</v>
      </c>
      <c r="D84" s="11" t="n">
        <f aca="false">Otto!$C$35+(Otto!$C$32-Otto!$C$35)*B84</f>
        <v>300</v>
      </c>
      <c r="E84" s="11" t="n">
        <f aca="false">Otto!$C$13*D84/C84</f>
        <v>79</v>
      </c>
      <c r="F84" s="16" t="n">
        <f aca="false">Otto!$E$34+Otto!$C$11*LN(D84/Otto!$C$35)</f>
        <v>0</v>
      </c>
      <c r="G84" s="11" t="n">
        <f aca="false">C84*Otto!$C$28*1000000</f>
        <v>362.856896732734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31.5" hidden="false" customHeight="true" outlineLevel="0" collapsed="false">
      <c r="A4" s="4" t="s">
        <v>123</v>
      </c>
      <c r="B4" s="4" t="s">
        <v>124</v>
      </c>
      <c r="C4" s="4" t="s">
        <v>68</v>
      </c>
      <c r="D4" s="4" t="s">
        <v>64</v>
      </c>
      <c r="E4" s="4" t="s">
        <v>65</v>
      </c>
      <c r="G4" s="15" t="s">
        <v>125</v>
      </c>
    </row>
    <row r="5" customFormat="false" ht="15" hidden="false" customHeight="false" outlineLevel="0" collapsed="false">
      <c r="A5" s="17" t="n">
        <v>0</v>
      </c>
      <c r="B5" s="5" t="s">
        <v>126</v>
      </c>
      <c r="C5" s="11" t="n">
        <f aca="false">Otto!$C$24+Otto!$C$23/2*((1-COS(RADIANS(A5)))+1/Otto!$C$26*(1-SQRT(1-Otto!$C$26^2*SIN(RADIANS(A5))^2)))</f>
        <v>40.3174329703038</v>
      </c>
      <c r="D5" s="11" t="n">
        <f aca="false">Otto!$C$6</f>
        <v>79</v>
      </c>
      <c r="E5" s="11" t="n">
        <f aca="false">Otto!$C$7</f>
        <v>300</v>
      </c>
    </row>
    <row r="6" customFormat="false" ht="15" hidden="false" customHeight="false" outlineLevel="0" collapsed="false">
      <c r="A6" s="17" t="n">
        <v>4</v>
      </c>
      <c r="B6" s="5" t="s">
        <v>126</v>
      </c>
      <c r="C6" s="11" t="n">
        <f aca="false">Otto!$C$24+Otto!$C$23/2*((1-COS(RADIANS(A6)))+1/Otto!$C$26*(1-SQRT(1-Otto!$C$26^2*SIN(RADIANS(A6))^2)))</f>
        <v>40.8113728808807</v>
      </c>
      <c r="D6" s="11" t="n">
        <f aca="false">Otto!$C$6</f>
        <v>79</v>
      </c>
      <c r="E6" s="11" t="n">
        <f aca="false">Otto!$C$7</f>
        <v>300</v>
      </c>
    </row>
    <row r="7" customFormat="false" ht="15" hidden="false" customHeight="false" outlineLevel="0" collapsed="false">
      <c r="A7" s="17" t="n">
        <v>8</v>
      </c>
      <c r="B7" s="5" t="s">
        <v>126</v>
      </c>
      <c r="C7" s="11" t="n">
        <f aca="false">Otto!$C$24+Otto!$C$23/2*((1-COS(RADIANS(A7)))+1/Otto!$C$26*(1-SQRT(1-Otto!$C$26^2*SIN(RADIANS(A7))^2)))</f>
        <v>42.2894079288863</v>
      </c>
      <c r="D7" s="11" t="n">
        <f aca="false">Otto!$C$6</f>
        <v>79</v>
      </c>
      <c r="E7" s="11" t="n">
        <f aca="false">Otto!$C$7</f>
        <v>300</v>
      </c>
    </row>
    <row r="8" customFormat="false" ht="15" hidden="false" customHeight="false" outlineLevel="0" collapsed="false">
      <c r="A8" s="17" t="n">
        <v>12</v>
      </c>
      <c r="B8" s="5" t="s">
        <v>126</v>
      </c>
      <c r="C8" s="11" t="n">
        <f aca="false">Otto!$C$24+Otto!$C$23/2*((1-COS(RADIANS(A8)))+1/Otto!$C$26*(1-SQRT(1-Otto!$C$26^2*SIN(RADIANS(A8))^2)))</f>
        <v>44.7402227453271</v>
      </c>
      <c r="D8" s="11" t="n">
        <f aca="false">Otto!$C$6</f>
        <v>79</v>
      </c>
      <c r="E8" s="11" t="n">
        <f aca="false">Otto!$C$7</f>
        <v>300</v>
      </c>
    </row>
    <row r="9" customFormat="false" ht="15" hidden="false" customHeight="false" outlineLevel="0" collapsed="false">
      <c r="A9" s="17" t="n">
        <v>16</v>
      </c>
      <c r="B9" s="5" t="s">
        <v>126</v>
      </c>
      <c r="C9" s="11" t="n">
        <f aca="false">Otto!$C$24+Otto!$C$23/2*((1-COS(RADIANS(A9)))+1/Otto!$C$26*(1-SQRT(1-Otto!$C$26^2*SIN(RADIANS(A9))^2)))</f>
        <v>48.145087178533</v>
      </c>
      <c r="D9" s="11" t="n">
        <f aca="false">Otto!$C$6</f>
        <v>79</v>
      </c>
      <c r="E9" s="11" t="n">
        <f aca="false">Otto!$C$7</f>
        <v>300</v>
      </c>
    </row>
    <row r="10" customFormat="false" ht="15" hidden="false" customHeight="false" outlineLevel="0" collapsed="false">
      <c r="A10" s="17" t="n">
        <v>20</v>
      </c>
      <c r="B10" s="5" t="s">
        <v>126</v>
      </c>
      <c r="C10" s="11" t="n">
        <f aca="false">Otto!$C$24+Otto!$C$23/2*((1-COS(RADIANS(A10)))+1/Otto!$C$26*(1-SQRT(1-Otto!$C$26^2*SIN(RADIANS(A10))^2)))</f>
        <v>52.478048962158</v>
      </c>
      <c r="D10" s="11" t="n">
        <f aca="false">Otto!$C$6</f>
        <v>79</v>
      </c>
      <c r="E10" s="11" t="n">
        <f aca="false">Otto!$C$7</f>
        <v>300</v>
      </c>
    </row>
    <row r="11" customFormat="false" ht="15" hidden="false" customHeight="false" outlineLevel="0" collapsed="false">
      <c r="A11" s="17" t="n">
        <v>24</v>
      </c>
      <c r="B11" s="5" t="s">
        <v>126</v>
      </c>
      <c r="C11" s="11" t="n">
        <f aca="false">Otto!$C$24+Otto!$C$23/2*((1-COS(RADIANS(A11)))+1/Otto!$C$26*(1-SQRT(1-Otto!$C$26^2*SIN(RADIANS(A11))^2)))</f>
        <v>57.706202314003</v>
      </c>
      <c r="D11" s="11" t="n">
        <f aca="false">Otto!$C$6</f>
        <v>79</v>
      </c>
      <c r="E11" s="11" t="n">
        <f aca="false">Otto!$C$7</f>
        <v>300</v>
      </c>
    </row>
    <row r="12" customFormat="false" ht="15" hidden="false" customHeight="false" outlineLevel="0" collapsed="false">
      <c r="A12" s="17" t="n">
        <v>28</v>
      </c>
      <c r="B12" s="5" t="s">
        <v>126</v>
      </c>
      <c r="C12" s="11" t="n">
        <f aca="false">Otto!$C$24+Otto!$C$23/2*((1-COS(RADIANS(A12)))+1/Otto!$C$26*(1-SQRT(1-Otto!$C$26^2*SIN(RADIANS(A12))^2)))</f>
        <v>63.7900311401053</v>
      </c>
      <c r="D12" s="11" t="n">
        <f aca="false">Otto!$C$6</f>
        <v>79</v>
      </c>
      <c r="E12" s="11" t="n">
        <f aca="false">Otto!$C$7</f>
        <v>300</v>
      </c>
    </row>
    <row r="13" customFormat="false" ht="15" hidden="false" customHeight="false" outlineLevel="0" collapsed="false">
      <c r="A13" s="17" t="n">
        <v>32</v>
      </c>
      <c r="B13" s="5" t="s">
        <v>126</v>
      </c>
      <c r="C13" s="11" t="n">
        <f aca="false">Otto!$C$24+Otto!$C$23/2*((1-COS(RADIANS(A13)))+1/Otto!$C$26*(1-SQRT(1-Otto!$C$26^2*SIN(RADIANS(A13))^2)))</f>
        <v>70.6838248781049</v>
      </c>
      <c r="D13" s="11" t="n">
        <f aca="false">Otto!$C$6</f>
        <v>79</v>
      </c>
      <c r="E13" s="11" t="n">
        <f aca="false">Otto!$C$7</f>
        <v>300</v>
      </c>
    </row>
    <row r="14" customFormat="false" ht="15" hidden="false" customHeight="false" outlineLevel="0" collapsed="false">
      <c r="A14" s="17" t="n">
        <v>36</v>
      </c>
      <c r="B14" s="5" t="s">
        <v>126</v>
      </c>
      <c r="C14" s="11" t="n">
        <f aca="false">Otto!$C$24+Otto!$C$23/2*((1-COS(RADIANS(A14)))+1/Otto!$C$26*(1-SQRT(1-Otto!$C$26^2*SIN(RADIANS(A14))^2)))</f>
        <v>78.3361641933593</v>
      </c>
      <c r="D14" s="11" t="n">
        <f aca="false">Otto!$C$6</f>
        <v>79</v>
      </c>
      <c r="E14" s="11" t="n">
        <f aca="false">Otto!$C$7</f>
        <v>300</v>
      </c>
    </row>
    <row r="15" customFormat="false" ht="15" hidden="false" customHeight="false" outlineLevel="0" collapsed="false">
      <c r="A15" s="17" t="n">
        <v>40</v>
      </c>
      <c r="B15" s="5" t="s">
        <v>126</v>
      </c>
      <c r="C15" s="11" t="n">
        <f aca="false">Otto!$C$24+Otto!$C$23/2*((1-COS(RADIANS(A15)))+1/Otto!$C$26*(1-SQRT(1-Otto!$C$26^2*SIN(RADIANS(A15))^2)))</f>
        <v>86.6904727207556</v>
      </c>
      <c r="D15" s="11" t="n">
        <f aca="false">Otto!$C$6</f>
        <v>79</v>
      </c>
      <c r="E15" s="11" t="n">
        <f aca="false">Otto!$C$7</f>
        <v>300</v>
      </c>
    </row>
    <row r="16" customFormat="false" ht="15" hidden="false" customHeight="false" outlineLevel="0" collapsed="false">
      <c r="A16" s="17" t="n">
        <v>44</v>
      </c>
      <c r="B16" s="5" t="s">
        <v>126</v>
      </c>
      <c r="C16" s="11" t="n">
        <f aca="false">Otto!$C$24+Otto!$C$23/2*((1-COS(RADIANS(A16)))+1/Otto!$C$26*(1-SQRT(1-Otto!$C$26^2*SIN(RADIANS(A16))^2)))</f>
        <v>95.6856298193817</v>
      </c>
      <c r="D16" s="11" t="n">
        <f aca="false">Otto!$C$6</f>
        <v>79</v>
      </c>
      <c r="E16" s="11" t="n">
        <f aca="false">Otto!$C$7</f>
        <v>300</v>
      </c>
    </row>
    <row r="17" customFormat="false" ht="15" hidden="false" customHeight="false" outlineLevel="0" collapsed="false">
      <c r="A17" s="17" t="n">
        <v>48</v>
      </c>
      <c r="B17" s="5" t="s">
        <v>126</v>
      </c>
      <c r="C17" s="11" t="n">
        <f aca="false">Otto!$C$24+Otto!$C$23/2*((1-COS(RADIANS(A17)))+1/Otto!$C$26*(1-SQRT(1-Otto!$C$26^2*SIN(RADIANS(A17))^2)))</f>
        <v>105.256637889547</v>
      </c>
      <c r="D17" s="11" t="n">
        <f aca="false">Otto!$C$6</f>
        <v>79</v>
      </c>
      <c r="E17" s="11" t="n">
        <f aca="false">Otto!$C$7</f>
        <v>300</v>
      </c>
    </row>
    <row r="18" customFormat="false" ht="15" hidden="false" customHeight="false" outlineLevel="0" collapsed="false">
      <c r="A18" s="17" t="n">
        <v>52</v>
      </c>
      <c r="B18" s="5" t="s">
        <v>126</v>
      </c>
      <c r="C18" s="11" t="n">
        <f aca="false">Otto!$C$24+Otto!$C$23/2*((1-COS(RADIANS(A18)))+1/Otto!$C$26*(1-SQRT(1-Otto!$C$26^2*SIN(RADIANS(A18))^2)))</f>
        <v>115.335336227898</v>
      </c>
      <c r="D18" s="11" t="n">
        <f aca="false">Otto!$C$6</f>
        <v>79</v>
      </c>
      <c r="E18" s="11" t="n">
        <f aca="false">Otto!$C$7</f>
        <v>300</v>
      </c>
    </row>
    <row r="19" customFormat="false" ht="15" hidden="false" customHeight="false" outlineLevel="0" collapsed="false">
      <c r="A19" s="17" t="n">
        <v>56</v>
      </c>
      <c r="B19" s="5" t="s">
        <v>126</v>
      </c>
      <c r="C19" s="11" t="n">
        <f aca="false">Otto!$C$24+Otto!$C$23/2*((1-COS(RADIANS(A19)))+1/Otto!$C$26*(1-SQRT(1-Otto!$C$26^2*SIN(RADIANS(A19))^2)))</f>
        <v>125.851151727515</v>
      </c>
      <c r="D19" s="11" t="n">
        <f aca="false">Otto!$C$6</f>
        <v>79</v>
      </c>
      <c r="E19" s="11" t="n">
        <f aca="false">Otto!$C$7</f>
        <v>300</v>
      </c>
    </row>
    <row r="20" customFormat="false" ht="15" hidden="false" customHeight="false" outlineLevel="0" collapsed="false">
      <c r="A20" s="17" t="n">
        <v>60</v>
      </c>
      <c r="B20" s="5" t="s">
        <v>126</v>
      </c>
      <c r="C20" s="11" t="n">
        <f aca="false">Otto!$C$24+Otto!$C$23/2*((1-COS(RADIANS(A20)))+1/Otto!$C$26*(1-SQRT(1-Otto!$C$26^2*SIN(RADIANS(A20))^2)))</f>
        <v>136.731875052861</v>
      </c>
      <c r="D20" s="11" t="n">
        <f aca="false">Otto!$C$6</f>
        <v>79</v>
      </c>
      <c r="E20" s="11" t="n">
        <f aca="false">Otto!$C$7</f>
        <v>300</v>
      </c>
    </row>
    <row r="21" customFormat="false" ht="15" hidden="false" customHeight="false" outlineLevel="0" collapsed="false">
      <c r="A21" s="17" t="n">
        <v>64</v>
      </c>
      <c r="B21" s="5" t="s">
        <v>126</v>
      </c>
      <c r="C21" s="11" t="n">
        <f aca="false">Otto!$C$24+Otto!$C$23/2*((1-COS(RADIANS(A21)))+1/Otto!$C$26*(1-SQRT(1-Otto!$C$26^2*SIN(RADIANS(A21))^2)))</f>
        <v>147.90444934515</v>
      </c>
      <c r="D21" s="11" t="n">
        <f aca="false">Otto!$C$6</f>
        <v>79</v>
      </c>
      <c r="E21" s="11" t="n">
        <f aca="false">Otto!$C$7</f>
        <v>300</v>
      </c>
    </row>
    <row r="22" customFormat="false" ht="15" hidden="false" customHeight="false" outlineLevel="0" collapsed="false">
      <c r="A22" s="17" t="n">
        <v>68</v>
      </c>
      <c r="B22" s="5" t="s">
        <v>126</v>
      </c>
      <c r="C22" s="11" t="n">
        <f aca="false">Otto!$C$24+Otto!$C$23/2*((1-COS(RADIANS(A22)))+1/Otto!$C$26*(1-SQRT(1-Otto!$C$26^2*SIN(RADIANS(A22))^2)))</f>
        <v>159.295757171344</v>
      </c>
      <c r="D22" s="11" t="n">
        <f aca="false">Otto!$C$6</f>
        <v>79</v>
      </c>
      <c r="E22" s="11" t="n">
        <f aca="false">Otto!$C$7</f>
        <v>300</v>
      </c>
    </row>
    <row r="23" customFormat="false" ht="15" hidden="false" customHeight="false" outlineLevel="0" collapsed="false">
      <c r="A23" s="17" t="n">
        <v>72</v>
      </c>
      <c r="B23" s="5" t="s">
        <v>126</v>
      </c>
      <c r="C23" s="11" t="n">
        <f aca="false">Otto!$C$24+Otto!$C$23/2*((1-COS(RADIANS(A23)))+1/Otto!$C$26*(1-SQRT(1-Otto!$C$26^2*SIN(RADIANS(A23))^2)))</f>
        <v>170.833390457673</v>
      </c>
      <c r="D23" s="11" t="n">
        <f aca="false">Otto!$C$6</f>
        <v>79</v>
      </c>
      <c r="E23" s="11" t="n">
        <f aca="false">Otto!$C$7</f>
        <v>300</v>
      </c>
    </row>
    <row r="24" customFormat="false" ht="15" hidden="false" customHeight="false" outlineLevel="0" collapsed="false">
      <c r="A24" s="17" t="n">
        <v>76</v>
      </c>
      <c r="B24" s="5" t="s">
        <v>126</v>
      </c>
      <c r="C24" s="11" t="n">
        <f aca="false">Otto!$C$24+Otto!$C$23/2*((1-COS(RADIANS(A24)))+1/Otto!$C$26*(1-SQRT(1-Otto!$C$26^2*SIN(RADIANS(A24))^2)))</f>
        <v>182.446387679947</v>
      </c>
      <c r="D24" s="11" t="n">
        <f aca="false">Otto!$C$6</f>
        <v>79</v>
      </c>
      <c r="E24" s="11" t="n">
        <f aca="false">Otto!$C$7</f>
        <v>300</v>
      </c>
    </row>
    <row r="25" customFormat="false" ht="15" hidden="false" customHeight="false" outlineLevel="0" collapsed="false">
      <c r="A25" s="17" t="n">
        <v>80</v>
      </c>
      <c r="B25" s="5" t="s">
        <v>126</v>
      </c>
      <c r="C25" s="11" t="n">
        <f aca="false">Otto!$C$24+Otto!$C$23/2*((1-COS(RADIANS(A25)))+1/Otto!$C$26*(1-SQRT(1-Otto!$C$26^2*SIN(RADIANS(A25))^2)))</f>
        <v>194.065922731762</v>
      </c>
      <c r="D25" s="11" t="n">
        <f aca="false">Otto!$C$6</f>
        <v>79</v>
      </c>
      <c r="E25" s="11" t="n">
        <f aca="false">Otto!$C$7</f>
        <v>300</v>
      </c>
    </row>
    <row r="26" customFormat="false" ht="15" hidden="false" customHeight="false" outlineLevel="0" collapsed="false">
      <c r="A26" s="17" t="n">
        <v>84</v>
      </c>
      <c r="B26" s="5" t="s">
        <v>126</v>
      </c>
      <c r="C26" s="11" t="n">
        <f aca="false">Otto!$C$24+Otto!$C$23/2*((1-COS(RADIANS(A26)))+1/Otto!$C$26*(1-SQRT(1-Otto!$C$26^2*SIN(RADIANS(A26))^2)))</f>
        <v>205.625930735197</v>
      </c>
      <c r="D26" s="11" t="n">
        <f aca="false">Otto!$C$6</f>
        <v>79</v>
      </c>
      <c r="E26" s="11" t="n">
        <f aca="false">Otto!$C$7</f>
        <v>300</v>
      </c>
    </row>
    <row r="27" customFormat="false" ht="15" hidden="false" customHeight="false" outlineLevel="0" collapsed="false">
      <c r="A27" s="17" t="n">
        <v>88</v>
      </c>
      <c r="B27" s="5" t="s">
        <v>126</v>
      </c>
      <c r="C27" s="11" t="n">
        <f aca="false">Otto!$C$24+Otto!$C$23/2*((1-COS(RADIANS(A27)))+1/Otto!$C$26*(1-SQRT(1-Otto!$C$26^2*SIN(RADIANS(A27))^2)))</f>
        <v>217.063657623321</v>
      </c>
      <c r="D27" s="11" t="n">
        <f aca="false">Otto!$C$6</f>
        <v>79</v>
      </c>
      <c r="E27" s="11" t="n">
        <f aca="false">Otto!$C$7</f>
        <v>300</v>
      </c>
    </row>
    <row r="28" customFormat="false" ht="15" hidden="false" customHeight="false" outlineLevel="0" collapsed="false">
      <c r="A28" s="17" t="n">
        <v>92</v>
      </c>
      <c r="B28" s="5" t="s">
        <v>126</v>
      </c>
      <c r="C28" s="11" t="n">
        <f aca="false">Otto!$C$24+Otto!$C$23/2*((1-COS(RADIANS(A28)))+1/Otto!$C$26*(1-SQRT(1-Otto!$C$26^2*SIN(RADIANS(A28))^2)))</f>
        <v>228.320122575324</v>
      </c>
      <c r="D28" s="11" t="n">
        <f aca="false">Otto!$C$6</f>
        <v>79</v>
      </c>
      <c r="E28" s="11" t="n">
        <f aca="false">Otto!$C$7</f>
        <v>300</v>
      </c>
    </row>
    <row r="29" customFormat="false" ht="15" hidden="false" customHeight="false" outlineLevel="0" collapsed="false">
      <c r="A29" s="17" t="n">
        <v>96</v>
      </c>
      <c r="B29" s="5" t="s">
        <v>126</v>
      </c>
      <c r="C29" s="11" t="n">
        <f aca="false">Otto!$C$24+Otto!$C$23/2*((1-COS(RADIANS(A29)))+1/Otto!$C$26*(1-SQRT(1-Otto!$C$26^2*SIN(RADIANS(A29))^2)))</f>
        <v>239.340485225457</v>
      </c>
      <c r="D29" s="11" t="n">
        <f aca="false">Otto!$C$6</f>
        <v>79</v>
      </c>
      <c r="E29" s="11" t="n">
        <f aca="false">Otto!$C$7</f>
        <v>300</v>
      </c>
    </row>
    <row r="30" customFormat="false" ht="15" hidden="false" customHeight="false" outlineLevel="0" collapsed="false">
      <c r="A30" s="17" t="n">
        <v>100</v>
      </c>
      <c r="B30" s="5" t="s">
        <v>126</v>
      </c>
      <c r="C30" s="11" t="n">
        <f aca="false">Otto!$C$24+Otto!$C$23/2*((1-COS(RADIANS(A30)))+1/Otto!$C$26*(1-SQRT(1-Otto!$C$26^2*SIN(RADIANS(A30))^2)))</f>
        <v>250.074312839777</v>
      </c>
      <c r="D30" s="11" t="n">
        <f aca="false">Otto!$C$6</f>
        <v>79</v>
      </c>
      <c r="E30" s="11" t="n">
        <f aca="false">Otto!$C$7</f>
        <v>300</v>
      </c>
    </row>
    <row r="31" customFormat="false" ht="15" hidden="false" customHeight="false" outlineLevel="0" collapsed="false">
      <c r="A31" s="17" t="n">
        <v>104</v>
      </c>
      <c r="B31" s="5" t="s">
        <v>126</v>
      </c>
      <c r="C31" s="11" t="n">
        <f aca="false">Otto!$C$24+Otto!$C$23/2*((1-COS(RADIANS(A31)))+1/Otto!$C$26*(1-SQRT(1-Otto!$C$26^2*SIN(RADIANS(A31))^2)))</f>
        <v>260.475746159055</v>
      </c>
      <c r="D31" s="11" t="n">
        <f aca="false">Otto!$C$6</f>
        <v>79</v>
      </c>
      <c r="E31" s="11" t="n">
        <f aca="false">Otto!$C$7</f>
        <v>300</v>
      </c>
    </row>
    <row r="32" customFormat="false" ht="15" hidden="false" customHeight="false" outlineLevel="0" collapsed="false">
      <c r="A32" s="17" t="n">
        <v>108</v>
      </c>
      <c r="B32" s="5" t="s">
        <v>126</v>
      </c>
      <c r="C32" s="11" t="n">
        <f aca="false">Otto!$C$24+Otto!$C$23/2*((1-COS(RADIANS(A32)))+1/Otto!$C$26*(1-SQRT(1-Otto!$C$26^2*SIN(RADIANS(A32))^2)))</f>
        <v>270.503566116846</v>
      </c>
      <c r="D32" s="11" t="n">
        <f aca="false">Otto!$C$6</f>
        <v>79</v>
      </c>
      <c r="E32" s="11" t="n">
        <f aca="false">Otto!$C$7</f>
        <v>300</v>
      </c>
    </row>
    <row r="33" customFormat="false" ht="15" hidden="false" customHeight="false" outlineLevel="0" collapsed="false">
      <c r="A33" s="17" t="n">
        <v>112</v>
      </c>
      <c r="B33" s="5" t="s">
        <v>126</v>
      </c>
      <c r="C33" s="11" t="n">
        <f aca="false">Otto!$C$24+Otto!$C$23/2*((1-COS(RADIANS(A33)))+1/Otto!$C$26*(1-SQRT(1-Otto!$C$26^2*SIN(RADIANS(A33))^2)))</f>
        <v>280.121166933583</v>
      </c>
      <c r="D33" s="11" t="n">
        <f aca="false">Otto!$C$6</f>
        <v>79</v>
      </c>
      <c r="E33" s="11" t="n">
        <f aca="false">Otto!$C$7</f>
        <v>300</v>
      </c>
    </row>
    <row r="34" customFormat="false" ht="15" hidden="false" customHeight="false" outlineLevel="0" collapsed="false">
      <c r="A34" s="17" t="n">
        <v>116</v>
      </c>
      <c r="B34" s="5" t="s">
        <v>126</v>
      </c>
      <c r="C34" s="11" t="n">
        <f aca="false">Otto!$C$24+Otto!$C$23/2*((1-COS(RADIANS(A34)))+1/Otto!$C$26*(1-SQRT(1-Otto!$C$26^2*SIN(RADIANS(A34))^2)))</f>
        <v>289.296443959421</v>
      </c>
      <c r="D34" s="11" t="n">
        <f aca="false">Otto!$C$6</f>
        <v>79</v>
      </c>
      <c r="E34" s="11" t="n">
        <f aca="false">Otto!$C$7</f>
        <v>300</v>
      </c>
    </row>
    <row r="35" customFormat="false" ht="15" hidden="false" customHeight="false" outlineLevel="0" collapsed="false">
      <c r="A35" s="17" t="n">
        <v>120</v>
      </c>
      <c r="B35" s="5" t="s">
        <v>126</v>
      </c>
      <c r="C35" s="11" t="n">
        <f aca="false">Otto!$C$24+Otto!$C$23/2*((1-COS(RADIANS(A35)))+1/Otto!$C$26*(1-SQRT(1-Otto!$C$26^2*SIN(RADIANS(A35))^2)))</f>
        <v>298.001606934076</v>
      </c>
      <c r="D35" s="11" t="n">
        <f aca="false">Otto!$C$6</f>
        <v>79</v>
      </c>
      <c r="E35" s="11" t="n">
        <f aca="false">Otto!$C$7</f>
        <v>300</v>
      </c>
    </row>
    <row r="36" customFormat="false" ht="15" hidden="false" customHeight="false" outlineLevel="0" collapsed="false">
      <c r="A36" s="17" t="n">
        <v>124</v>
      </c>
      <c r="B36" s="5" t="s">
        <v>126</v>
      </c>
      <c r="C36" s="11" t="n">
        <f aca="false">Otto!$C$24+Otto!$C$23/2*((1-COS(RADIANS(A36)))+1/Otto!$C$26*(1-SQRT(1-Otto!$C$26^2*SIN(RADIANS(A36))^2)))</f>
        <v>306.212930952726</v>
      </c>
      <c r="D36" s="11" t="n">
        <f aca="false">Otto!$C$6</f>
        <v>79</v>
      </c>
      <c r="E36" s="11" t="n">
        <f aca="false">Otto!$C$7</f>
        <v>300</v>
      </c>
    </row>
    <row r="37" customFormat="false" ht="15" hidden="false" customHeight="false" outlineLevel="0" collapsed="false">
      <c r="A37" s="17" t="n">
        <v>128</v>
      </c>
      <c r="B37" s="5" t="s">
        <v>126</v>
      </c>
      <c r="C37" s="11" t="n">
        <f aca="false">Otto!$C$24+Otto!$C$23/2*((1-COS(RADIANS(A37)))+1/Otto!$C$26*(1-SQRT(1-Otto!$C$26^2*SIN(RADIANS(A37))^2)))</f>
        <v>313.910458338623</v>
      </c>
      <c r="D37" s="11" t="n">
        <f aca="false">Otto!$C$6</f>
        <v>79</v>
      </c>
      <c r="E37" s="11" t="n">
        <f aca="false">Otto!$C$7</f>
        <v>300</v>
      </c>
    </row>
    <row r="38" customFormat="false" ht="15" hidden="false" customHeight="false" outlineLevel="0" collapsed="false">
      <c r="A38" s="17" t="n">
        <v>132</v>
      </c>
      <c r="B38" s="5" t="s">
        <v>126</v>
      </c>
      <c r="C38" s="11" t="n">
        <f aca="false">Otto!$C$24+Otto!$C$23/2*((1-COS(RADIANS(A38)))+1/Otto!$C$26*(1-SQRT(1-Otto!$C$26^2*SIN(RADIANS(A38))^2)))</f>
        <v>321.077664851563</v>
      </c>
      <c r="D38" s="11" t="n">
        <f aca="false">Otto!$C$6</f>
        <v>79</v>
      </c>
      <c r="E38" s="11" t="n">
        <f aca="false">Otto!$C$7</f>
        <v>300</v>
      </c>
    </row>
    <row r="39" customFormat="false" ht="15" hidden="false" customHeight="false" outlineLevel="0" collapsed="false">
      <c r="A39" s="17" t="n">
        <v>136</v>
      </c>
      <c r="B39" s="5" t="s">
        <v>126</v>
      </c>
      <c r="C39" s="11" t="n">
        <f aca="false">Otto!$C$24+Otto!$C$23/2*((1-COS(RADIANS(A39)))+1/Otto!$C$26*(1-SQRT(1-Otto!$C$26^2*SIN(RADIANS(A39))^2)))</f>
        <v>327.701103283584</v>
      </c>
      <c r="D39" s="11" t="n">
        <f aca="false">Otto!$C$6</f>
        <v>79</v>
      </c>
      <c r="E39" s="11" t="n">
        <f aca="false">Otto!$C$7</f>
        <v>300</v>
      </c>
    </row>
    <row r="40" customFormat="false" ht="15" hidden="false" customHeight="false" outlineLevel="0" collapsed="false">
      <c r="A40" s="17" t="n">
        <v>140</v>
      </c>
      <c r="B40" s="5" t="s">
        <v>126</v>
      </c>
      <c r="C40" s="11" t="n">
        <f aca="false">Otto!$C$24+Otto!$C$23/2*((1-COS(RADIANS(A40)))+1/Otto!$C$26*(1-SQRT(1-Otto!$C$26^2*SIN(RADIANS(A40))^2)))</f>
        <v>333.77003662254</v>
      </c>
      <c r="D40" s="11" t="n">
        <f aca="false">Otto!$C$6</f>
        <v>79</v>
      </c>
      <c r="E40" s="11" t="n">
        <f aca="false">Otto!$C$7</f>
        <v>300</v>
      </c>
    </row>
    <row r="41" customFormat="false" ht="15" hidden="false" customHeight="false" outlineLevel="0" collapsed="false">
      <c r="A41" s="17" t="n">
        <v>144</v>
      </c>
      <c r="B41" s="5" t="s">
        <v>126</v>
      </c>
      <c r="C41" s="11" t="n">
        <f aca="false">Otto!$C$24+Otto!$C$23/2*((1-COS(RADIANS(A41)))+1/Otto!$C$26*(1-SQRT(1-Otto!$C$26^2*SIN(RADIANS(A41))^2)))</f>
        <v>339.276071733748</v>
      </c>
      <c r="D41" s="11" t="n">
        <f aca="false">Otto!$C$6</f>
        <v>79</v>
      </c>
      <c r="E41" s="11" t="n">
        <f aca="false">Otto!$C$7</f>
        <v>300</v>
      </c>
    </row>
    <row r="42" customFormat="false" ht="15" hidden="false" customHeight="false" outlineLevel="0" collapsed="false">
      <c r="A42" s="17" t="n">
        <v>148</v>
      </c>
      <c r="B42" s="5" t="s">
        <v>126</v>
      </c>
      <c r="C42" s="11" t="n">
        <f aca="false">Otto!$C$24+Otto!$C$23/2*((1-COS(RADIANS(A42)))+1/Otto!$C$26*(1-SQRT(1-Otto!$C$26^2*SIN(RADIANS(A42))^2)))</f>
        <v>344.212803057148</v>
      </c>
      <c r="D42" s="11" t="n">
        <f aca="false">Otto!$C$6</f>
        <v>79</v>
      </c>
      <c r="E42" s="11" t="n">
        <f aca="false">Otto!$C$7</f>
        <v>300</v>
      </c>
    </row>
    <row r="43" customFormat="false" ht="15" hidden="false" customHeight="false" outlineLevel="0" collapsed="false">
      <c r="A43" s="17" t="n">
        <v>152</v>
      </c>
      <c r="B43" s="5" t="s">
        <v>126</v>
      </c>
      <c r="C43" s="11" t="n">
        <f aca="false">Otto!$C$24+Otto!$C$23/2*((1-COS(RADIANS(A43)))+1/Otto!$C$26*(1-SQRT(1-Otto!$C$26^2*SIN(RADIANS(A43))^2)))</f>
        <v>348.575474271152</v>
      </c>
      <c r="D43" s="11" t="n">
        <f aca="false">Otto!$C$6</f>
        <v>79</v>
      </c>
      <c r="E43" s="11" t="n">
        <f aca="false">Otto!$C$7</f>
        <v>300</v>
      </c>
    </row>
    <row r="44" customFormat="false" ht="15" hidden="false" customHeight="false" outlineLevel="0" collapsed="false">
      <c r="A44" s="17" t="n">
        <v>156</v>
      </c>
      <c r="B44" s="5" t="s">
        <v>126</v>
      </c>
      <c r="C44" s="11" t="n">
        <f aca="false">Otto!$C$24+Otto!$C$23/2*((1-COS(RADIANS(A44)))+1/Otto!$C$26*(1-SQRT(1-Otto!$C$26^2*SIN(RADIANS(A44))^2)))</f>
        <v>352.360664344651</v>
      </c>
      <c r="D44" s="11" t="n">
        <f aca="false">Otto!$C$6</f>
        <v>79</v>
      </c>
      <c r="E44" s="11" t="n">
        <f aca="false">Otto!$C$7</f>
        <v>300</v>
      </c>
    </row>
    <row r="45" customFormat="false" ht="15" hidden="false" customHeight="false" outlineLevel="0" collapsed="false">
      <c r="A45" s="17" t="n">
        <v>160</v>
      </c>
      <c r="B45" s="5" t="s">
        <v>126</v>
      </c>
      <c r="C45" s="11" t="n">
        <f aca="false">Otto!$C$24+Otto!$C$23/2*((1-COS(RADIANS(A45)))+1/Otto!$C$26*(1-SQRT(1-Otto!$C$26^2*SIN(RADIANS(A45))^2)))</f>
        <v>355.566002971957</v>
      </c>
      <c r="D45" s="11" t="n">
        <f aca="false">Otto!$C$6</f>
        <v>79</v>
      </c>
      <c r="E45" s="11" t="n">
        <f aca="false">Otto!$C$7</f>
        <v>300</v>
      </c>
    </row>
    <row r="46" customFormat="false" ht="15" hidden="false" customHeight="false" outlineLevel="0" collapsed="false">
      <c r="A46" s="17" t="n">
        <v>164</v>
      </c>
      <c r="B46" s="5" t="s">
        <v>126</v>
      </c>
      <c r="C46" s="11" t="n">
        <f aca="false">Otto!$C$24+Otto!$C$23/2*((1-COS(RADIANS(A46)))+1/Otto!$C$26*(1-SQRT(1-Otto!$C$26^2*SIN(RADIANS(A46))^2)))</f>
        <v>358.189919121843</v>
      </c>
      <c r="D46" s="11" t="n">
        <f aca="false">Otto!$C$6</f>
        <v>79</v>
      </c>
      <c r="E46" s="11" t="n">
        <f aca="false">Otto!$C$7</f>
        <v>300</v>
      </c>
    </row>
    <row r="47" customFormat="false" ht="15" hidden="false" customHeight="false" outlineLevel="0" collapsed="false">
      <c r="A47" s="17" t="n">
        <v>168</v>
      </c>
      <c r="B47" s="5" t="s">
        <v>126</v>
      </c>
      <c r="C47" s="11" t="n">
        <f aca="false">Otto!$C$24+Otto!$C$23/2*((1-COS(RADIANS(A47)))+1/Otto!$C$26*(1-SQRT(1-Otto!$C$26^2*SIN(RADIANS(A47))^2)))</f>
        <v>360.231425366516</v>
      </c>
      <c r="D47" s="11" t="n">
        <f aca="false">Otto!$C$6</f>
        <v>79</v>
      </c>
      <c r="E47" s="11" t="n">
        <f aca="false">Otto!$C$7</f>
        <v>300</v>
      </c>
    </row>
    <row r="48" customFormat="false" ht="15" hidden="false" customHeight="false" outlineLevel="0" collapsed="false">
      <c r="A48" s="17" t="n">
        <v>172</v>
      </c>
      <c r="B48" s="5" t="s">
        <v>126</v>
      </c>
      <c r="C48" s="11" t="n">
        <f aca="false">Otto!$C$24+Otto!$C$23/2*((1-COS(RADIANS(A48)))+1/Otto!$C$26*(1-SQRT(1-Otto!$C$26^2*SIN(RADIANS(A48))^2)))</f>
        <v>361.68993980185</v>
      </c>
      <c r="D48" s="11" t="n">
        <f aca="false">Otto!$C$6</f>
        <v>79</v>
      </c>
      <c r="E48" s="11" t="n">
        <f aca="false">Otto!$C$7</f>
        <v>300</v>
      </c>
    </row>
    <row r="49" customFormat="false" ht="15" hidden="false" customHeight="false" outlineLevel="0" collapsed="false">
      <c r="A49" s="17" t="n">
        <v>176</v>
      </c>
      <c r="B49" s="5" t="s">
        <v>126</v>
      </c>
      <c r="C49" s="11" t="n">
        <f aca="false">Otto!$C$24+Otto!$C$23/2*((1-COS(RADIANS(A49)))+1/Otto!$C$26*(1-SQRT(1-Otto!$C$26^2*SIN(RADIANS(A49))^2)))</f>
        <v>362.565146720362</v>
      </c>
      <c r="D49" s="11" t="n">
        <f aca="false">Otto!$C$6</f>
        <v>79</v>
      </c>
      <c r="E49" s="11" t="n">
        <f aca="false">Otto!$C$7</f>
        <v>300</v>
      </c>
    </row>
    <row r="50" customFormat="false" ht="15" hidden="false" customHeight="false" outlineLevel="0" collapsed="false">
      <c r="A50" s="17" t="n">
        <v>180</v>
      </c>
      <c r="B50" s="5" t="s">
        <v>126</v>
      </c>
      <c r="C50" s="11" t="n">
        <f aca="false">Otto!$C$24+Otto!$C$23/2*((1-COS(RADIANS(A50)))+1/Otto!$C$26*(1-SQRT(1-Otto!$C$26^2*SIN(RADIANS(A50))^2)))</f>
        <v>362.856896732734</v>
      </c>
      <c r="D50" s="11" t="n">
        <f aca="false">Otto!$C$6</f>
        <v>79</v>
      </c>
      <c r="E50" s="11" t="n">
        <f aca="false">Otto!$C$7</f>
        <v>300</v>
      </c>
    </row>
    <row r="51" customFormat="false" ht="15" hidden="false" customHeight="false" outlineLevel="0" collapsed="false">
      <c r="A51" s="17" t="n">
        <v>184</v>
      </c>
      <c r="B51" s="5" t="s">
        <v>127</v>
      </c>
      <c r="C51" s="11" t="n">
        <f aca="false">Otto!$C$24+Otto!$C$23/2*((1-COS(RADIANS(A51)))+1/Otto!$C$26*(1-SQRT(1-Otto!$C$26^2*SIN(RADIANS(A51))^2)))</f>
        <v>362.565146720362</v>
      </c>
      <c r="D51" s="11" t="n">
        <f aca="false">Otto!$C$6*(Otto!$C$25/C51)^Otto!$C$10</f>
        <v>79.0890122612579</v>
      </c>
      <c r="E51" s="11" t="n">
        <f aca="false">D51*C51*0.000001/(Otto!$C$28*Otto!$C$13)</f>
        <v>300.096538660267</v>
      </c>
    </row>
    <row r="52" customFormat="false" ht="15" hidden="false" customHeight="false" outlineLevel="0" collapsed="false">
      <c r="A52" s="17" t="n">
        <v>188</v>
      </c>
      <c r="B52" s="5" t="s">
        <v>127</v>
      </c>
      <c r="C52" s="11" t="n">
        <f aca="false">Otto!$C$24+Otto!$C$23/2*((1-COS(RADIANS(A52)))+1/Otto!$C$26*(1-SQRT(1-Otto!$C$26^2*SIN(RADIANS(A52))^2)))</f>
        <v>361.68993980185</v>
      </c>
      <c r="D52" s="11" t="n">
        <f aca="false">Otto!$C$6*(Otto!$C$25/C52)^Otto!$C$10</f>
        <v>79.3570701090992</v>
      </c>
      <c r="E52" s="11" t="n">
        <f aca="false">D52*C52*0.000001/(Otto!$C$28*Otto!$C$13)</f>
        <v>300.386794064429</v>
      </c>
    </row>
    <row r="53" customFormat="false" ht="15" hidden="false" customHeight="false" outlineLevel="0" collapsed="false">
      <c r="A53" s="17" t="n">
        <v>192</v>
      </c>
      <c r="B53" s="5" t="s">
        <v>127</v>
      </c>
      <c r="C53" s="11" t="n">
        <f aca="false">Otto!$C$24+Otto!$C$23/2*((1-COS(RADIANS(A53)))+1/Otto!$C$26*(1-SQRT(1-Otto!$C$26^2*SIN(RADIANS(A53))^2)))</f>
        <v>360.231425366516</v>
      </c>
      <c r="D53" s="11" t="n">
        <f aca="false">Otto!$C$6*(Otto!$C$25/C53)^Otto!$C$10</f>
        <v>79.8072582457531</v>
      </c>
      <c r="E53" s="11" t="n">
        <f aca="false">D53*C53*0.000001/(Otto!$C$28*Otto!$C$13)</f>
        <v>300.872689997943</v>
      </c>
    </row>
    <row r="54" customFormat="false" ht="15" hidden="false" customHeight="false" outlineLevel="0" collapsed="false">
      <c r="A54" s="17" t="n">
        <v>196</v>
      </c>
      <c r="B54" s="5" t="s">
        <v>127</v>
      </c>
      <c r="C54" s="11" t="n">
        <f aca="false">Otto!$C$24+Otto!$C$23/2*((1-COS(RADIANS(A54)))+1/Otto!$C$26*(1-SQRT(1-Otto!$C$26^2*SIN(RADIANS(A54))^2)))</f>
        <v>358.189919121843</v>
      </c>
      <c r="D54" s="11" t="n">
        <f aca="false">Otto!$C$6*(Otto!$C$25/C54)^Otto!$C$10</f>
        <v>80.4447902467206</v>
      </c>
      <c r="E54" s="11" t="n">
        <f aca="false">D54*C54*0.000001/(Otto!$C$28*Otto!$C$13)</f>
        <v>301.557451209692</v>
      </c>
    </row>
    <row r="55" customFormat="false" ht="15" hidden="false" customHeight="false" outlineLevel="0" collapsed="false">
      <c r="A55" s="17" t="n">
        <v>200</v>
      </c>
      <c r="B55" s="5" t="s">
        <v>127</v>
      </c>
      <c r="C55" s="11" t="n">
        <f aca="false">Otto!$C$24+Otto!$C$23/2*((1-COS(RADIANS(A55)))+1/Otto!$C$26*(1-SQRT(1-Otto!$C$26^2*SIN(RADIANS(A55))^2)))</f>
        <v>355.566002971957</v>
      </c>
      <c r="D55" s="11" t="n">
        <f aca="false">Otto!$C$6*(Otto!$C$25/C55)^Otto!$C$10</f>
        <v>81.2771196693249</v>
      </c>
      <c r="E55" s="11" t="n">
        <f aca="false">D55*C55*0.000001/(Otto!$C$28*Otto!$C$13)</f>
        <v>302.445631267251</v>
      </c>
    </row>
    <row r="56" customFormat="false" ht="15" hidden="false" customHeight="false" outlineLevel="0" collapsed="false">
      <c r="A56" s="17" t="n">
        <v>204</v>
      </c>
      <c r="B56" s="5" t="s">
        <v>127</v>
      </c>
      <c r="C56" s="11" t="n">
        <f aca="false">Otto!$C$24+Otto!$C$23/2*((1-COS(RADIANS(A56)))+1/Otto!$C$26*(1-SQRT(1-Otto!$C$26^2*SIN(RADIANS(A56))^2)))</f>
        <v>352.360664344651</v>
      </c>
      <c r="D56" s="11" t="n">
        <f aca="false">Otto!$C$6*(Otto!$C$25/C56)^Otto!$C$10</f>
        <v>82.3141007281063</v>
      </c>
      <c r="E56" s="11" t="n">
        <f aca="false">D56*C56*0.000001/(Otto!$C$28*Otto!$C$13)</f>
        <v>303.543151953611</v>
      </c>
    </row>
    <row r="57" customFormat="false" ht="15" hidden="false" customHeight="false" outlineLevel="0" collapsed="false">
      <c r="A57" s="17" t="n">
        <v>208</v>
      </c>
      <c r="B57" s="5" t="s">
        <v>127</v>
      </c>
      <c r="C57" s="11" t="n">
        <f aca="false">Otto!$C$24+Otto!$C$23/2*((1-COS(RADIANS(A57)))+1/Otto!$C$26*(1-SQRT(1-Otto!$C$26^2*SIN(RADIANS(A57))^2)))</f>
        <v>348.575474271152</v>
      </c>
      <c r="D57" s="11" t="n">
        <f aca="false">Otto!$C$6*(Otto!$C$25/C57)^Otto!$C$10</f>
        <v>83.5682039518656</v>
      </c>
      <c r="E57" s="11" t="n">
        <f aca="false">D57*C57*0.000001/(Otto!$C$28*Otto!$C$13)</f>
        <v>304.857354623887</v>
      </c>
    </row>
    <row r="58" customFormat="false" ht="15" hidden="false" customHeight="false" outlineLevel="0" collapsed="false">
      <c r="A58" s="17" t="n">
        <v>212</v>
      </c>
      <c r="B58" s="5" t="s">
        <v>127</v>
      </c>
      <c r="C58" s="11" t="n">
        <f aca="false">Otto!$C$24+Otto!$C$23/2*((1-COS(RADIANS(A58)))+1/Otto!$C$26*(1-SQRT(1-Otto!$C$26^2*SIN(RADIANS(A58))^2)))</f>
        <v>344.212803057148</v>
      </c>
      <c r="D58" s="11" t="n">
        <f aca="false">Otto!$C$6*(Otto!$C$25/C58)^Otto!$C$10</f>
        <v>85.0547942201104</v>
      </c>
      <c r="E58" s="11" t="n">
        <f aca="false">D58*C58*0.000001/(Otto!$C$28*Otto!$C$13)</f>
        <v>306.397064087636</v>
      </c>
    </row>
    <row r="59" customFormat="false" ht="15" hidden="false" customHeight="false" outlineLevel="0" collapsed="false">
      <c r="A59" s="17" t="n">
        <v>216</v>
      </c>
      <c r="B59" s="5" t="s">
        <v>127</v>
      </c>
      <c r="C59" s="11" t="n">
        <f aca="false">Otto!$C$24+Otto!$C$23/2*((1-COS(RADIANS(A59)))+1/Otto!$C$26*(1-SQRT(1-Otto!$C$26^2*SIN(RADIANS(A59))^2)))</f>
        <v>339.276071733748</v>
      </c>
      <c r="D59" s="11" t="n">
        <f aca="false">Otto!$C$6*(Otto!$C$25/C59)^Otto!$C$10</f>
        <v>86.7924809222183</v>
      </c>
      <c r="E59" s="11" t="n">
        <f aca="false">D59*C59*0.000001/(Otto!$C$28*Otto!$C$13)</f>
        <v>308.172665749823</v>
      </c>
    </row>
    <row r="60" customFormat="false" ht="15" hidden="false" customHeight="false" outlineLevel="0" collapsed="false">
      <c r="A60" s="17" t="n">
        <v>220</v>
      </c>
      <c r="B60" s="5" t="s">
        <v>127</v>
      </c>
      <c r="C60" s="11" t="n">
        <f aca="false">Otto!$C$24+Otto!$C$23/2*((1-COS(RADIANS(A60)))+1/Otto!$C$26*(1-SQRT(1-Otto!$C$26^2*SIN(RADIANS(A60))^2)))</f>
        <v>333.77003662254</v>
      </c>
      <c r="D60" s="11" t="n">
        <f aca="false">Otto!$C$6*(Otto!$C$25/C60)^Otto!$C$10</f>
        <v>88.8035528137713</v>
      </c>
      <c r="E60" s="11" t="n">
        <f aca="false">D60*C60*0.000001/(Otto!$C$28*Otto!$C$13)</f>
        <v>310.196196935243</v>
      </c>
    </row>
    <row r="61" customFormat="false" ht="15" hidden="false" customHeight="false" outlineLevel="0" collapsed="false">
      <c r="A61" s="17" t="n">
        <v>224</v>
      </c>
      <c r="B61" s="5" t="s">
        <v>127</v>
      </c>
      <c r="C61" s="11" t="n">
        <f aca="false">Otto!$C$24+Otto!$C$23/2*((1-COS(RADIANS(A61)))+1/Otto!$C$26*(1-SQRT(1-Otto!$C$26^2*SIN(RADIANS(A61))^2)))</f>
        <v>327.701103283584</v>
      </c>
      <c r="D61" s="11" t="n">
        <f aca="false">Otto!$C$6*(Otto!$C$25/C61)^Otto!$C$10</f>
        <v>91.1145136137496</v>
      </c>
      <c r="E61" s="11" t="n">
        <f aca="false">D61*C61*0.000001/(Otto!$C$28*Otto!$C$13)</f>
        <v>312.481453539486</v>
      </c>
    </row>
    <row r="62" customFormat="false" ht="15" hidden="false" customHeight="false" outlineLevel="0" collapsed="false">
      <c r="A62" s="17" t="n">
        <v>228</v>
      </c>
      <c r="B62" s="5" t="s">
        <v>127</v>
      </c>
      <c r="C62" s="11" t="n">
        <f aca="false">Otto!$C$24+Otto!$C$23/2*((1-COS(RADIANS(A62)))+1/Otto!$C$26*(1-SQRT(1-Otto!$C$26^2*SIN(RADIANS(A62))^2)))</f>
        <v>321.077664851563</v>
      </c>
      <c r="D62" s="11" t="n">
        <f aca="false">Otto!$C$6*(Otto!$C$25/C62)^Otto!$C$10</f>
        <v>93.7567386847922</v>
      </c>
      <c r="E62" s="11" t="n">
        <f aca="false">D62*C62*0.000001/(Otto!$C$28*Otto!$C$13)</f>
        <v>315.044113394644</v>
      </c>
    </row>
    <row r="63" customFormat="false" ht="15" hidden="false" customHeight="false" outlineLevel="0" collapsed="false">
      <c r="A63" s="17" t="n">
        <v>232</v>
      </c>
      <c r="B63" s="5" t="s">
        <v>127</v>
      </c>
      <c r="C63" s="11" t="n">
        <f aca="false">Otto!$C$24+Otto!$C$23/2*((1-COS(RADIANS(A63)))+1/Otto!$C$26*(1-SQRT(1-Otto!$C$26^2*SIN(RADIANS(A63))^2)))</f>
        <v>313.910458338623</v>
      </c>
      <c r="D63" s="11" t="n">
        <f aca="false">Otto!$C$6*(Otto!$C$25/C63)^Otto!$C$10</f>
        <v>96.7672785078154</v>
      </c>
      <c r="E63" s="11" t="n">
        <f aca="false">D63*C63*0.000001/(Otto!$C$28*Otto!$C$13)</f>
        <v>317.901878005595</v>
      </c>
    </row>
    <row r="64" customFormat="false" ht="15" hidden="false" customHeight="false" outlineLevel="0" collapsed="false">
      <c r="A64" s="17" t="n">
        <v>236</v>
      </c>
      <c r="B64" s="5" t="s">
        <v>127</v>
      </c>
      <c r="C64" s="11" t="n">
        <f aca="false">Otto!$C$24+Otto!$C$23/2*((1-COS(RADIANS(A64)))+1/Otto!$C$26*(1-SQRT(1-Otto!$C$26^2*SIN(RADIANS(A64))^2)))</f>
        <v>306.212930952726</v>
      </c>
      <c r="D64" s="11" t="n">
        <f aca="false">Otto!$C$6*(Otto!$C$25/C64)^Otto!$C$10</f>
        <v>100.189841407147</v>
      </c>
      <c r="E64" s="11" t="n">
        <f aca="false">D64*C64*0.000001/(Otto!$C$28*Otto!$C$13)</f>
        <v>321.074634592245</v>
      </c>
    </row>
    <row r="65" customFormat="false" ht="15" hidden="false" customHeight="false" outlineLevel="0" collapsed="false">
      <c r="A65" s="17" t="n">
        <v>240</v>
      </c>
      <c r="B65" s="5" t="s">
        <v>127</v>
      </c>
      <c r="C65" s="11" t="n">
        <f aca="false">Otto!$C$24+Otto!$C$23/2*((1-COS(RADIANS(A65)))+1/Otto!$C$26*(1-SQRT(1-Otto!$C$26^2*SIN(RADIANS(A65))^2)))</f>
        <v>298.001606934076</v>
      </c>
      <c r="D65" s="11" t="n">
        <f aca="false">Otto!$C$6*(Otto!$C$25/C65)^Otto!$C$10</f>
        <v>104.075996488555</v>
      </c>
      <c r="E65" s="11" t="n">
        <f aca="false">D65*C65*0.000001/(Otto!$C$28*Otto!$C$13)</f>
        <v>324.584640643731</v>
      </c>
    </row>
    <row r="66" customFormat="false" ht="15" hidden="false" customHeight="false" outlineLevel="0" collapsed="false">
      <c r="A66" s="17" t="n">
        <v>244</v>
      </c>
      <c r="B66" s="5" t="s">
        <v>127</v>
      </c>
      <c r="C66" s="11" t="n">
        <f aca="false">Otto!$C$24+Otto!$C$23/2*((1-COS(RADIANS(A66)))+1/Otto!$C$26*(1-SQRT(1-Otto!$C$26^2*SIN(RADIANS(A66))^2)))</f>
        <v>289.296443959421</v>
      </c>
      <c r="D66" s="11" t="n">
        <f aca="false">Otto!$C$6*(Otto!$C$25/C66)^Otto!$C$10</f>
        <v>108.486648504917</v>
      </c>
      <c r="E66" s="11" t="n">
        <f aca="false">D66*C66*0.000001/(Otto!$C$28*Otto!$C$13)</f>
        <v>328.456733415955</v>
      </c>
    </row>
    <row r="67" customFormat="false" ht="15" hidden="false" customHeight="false" outlineLevel="0" collapsed="false">
      <c r="A67" s="17" t="n">
        <v>248</v>
      </c>
      <c r="B67" s="5" t="s">
        <v>127</v>
      </c>
      <c r="C67" s="11" t="n">
        <f aca="false">Otto!$C$24+Otto!$C$23/2*((1-COS(RADIANS(A67)))+1/Otto!$C$26*(1-SQRT(1-Otto!$C$26^2*SIN(RADIANS(A67))^2)))</f>
        <v>280.121166933583</v>
      </c>
      <c r="D67" s="11" t="n">
        <f aca="false">Otto!$C$6*(Otto!$C$25/C67)^Otto!$C$10</f>
        <v>113.493849966307</v>
      </c>
      <c r="E67" s="11" t="n">
        <f aca="false">D67*C67*0.000001/(Otto!$C$28*Otto!$C$13)</f>
        <v>332.718566925086</v>
      </c>
    </row>
    <row r="68" customFormat="false" ht="15" hidden="false" customHeight="false" outlineLevel="0" collapsed="false">
      <c r="A68" s="17" t="n">
        <v>252</v>
      </c>
      <c r="B68" s="5" t="s">
        <v>127</v>
      </c>
      <c r="C68" s="11" t="n">
        <f aca="false">Otto!$C$24+Otto!$C$23/2*((1-COS(RADIANS(A68)))+1/Otto!$C$26*(1-SQRT(1-Otto!$C$26^2*SIN(RADIANS(A68))^2)))</f>
        <v>270.503566116846</v>
      </c>
      <c r="D68" s="11" t="n">
        <f aca="false">Otto!$C$6*(Otto!$C$25/C68)^Otto!$C$10</f>
        <v>119.183033002467</v>
      </c>
      <c r="E68" s="11" t="n">
        <f aca="false">D68*C68*0.000001/(Otto!$C$28*Otto!$C$13)</f>
        <v>337.400878914136</v>
      </c>
    </row>
    <row r="69" customFormat="false" ht="15" hidden="false" customHeight="false" outlineLevel="0" collapsed="false">
      <c r="A69" s="17" t="n">
        <v>256</v>
      </c>
      <c r="B69" s="5" t="s">
        <v>127</v>
      </c>
      <c r="C69" s="11" t="n">
        <f aca="false">Otto!$C$24+Otto!$C$23/2*((1-COS(RADIANS(A69)))+1/Otto!$C$26*(1-SQRT(1-Otto!$C$26^2*SIN(RADIANS(A69))^2)))</f>
        <v>260.475746159055</v>
      </c>
      <c r="D69" s="11" t="n">
        <f aca="false">Otto!$C$6*(Otto!$C$25/C69)^Otto!$C$10</f>
        <v>125.655765147615</v>
      </c>
      <c r="E69" s="11" t="n">
        <f aca="false">D69*C69*0.000001/(Otto!$C$28*Otto!$C$13)</f>
        <v>342.537789855214</v>
      </c>
    </row>
    <row r="70" customFormat="false" ht="15" hidden="false" customHeight="false" outlineLevel="0" collapsed="false">
      <c r="A70" s="17" t="n">
        <v>260</v>
      </c>
      <c r="B70" s="5" t="s">
        <v>127</v>
      </c>
      <c r="C70" s="11" t="n">
        <f aca="false">Otto!$C$24+Otto!$C$23/2*((1-COS(RADIANS(A70)))+1/Otto!$C$26*(1-SQRT(1-Otto!$C$26^2*SIN(RADIANS(A70))^2)))</f>
        <v>250.074312839777</v>
      </c>
      <c r="D70" s="11" t="n">
        <f aca="false">Otto!$C$6*(Otto!$C$25/C70)^Otto!$C$10</f>
        <v>133.033160354878</v>
      </c>
      <c r="E70" s="11" t="n">
        <f aca="false">D70*C70*0.000001/(Otto!$C$28*Otto!$C$13)</f>
        <v>348.167135080629</v>
      </c>
    </row>
    <row r="71" customFormat="false" ht="15" hidden="false" customHeight="false" outlineLevel="0" collapsed="false">
      <c r="A71" s="17" t="n">
        <v>264</v>
      </c>
      <c r="B71" s="5" t="s">
        <v>127</v>
      </c>
      <c r="C71" s="11" t="n">
        <f aca="false">Otto!$C$24+Otto!$C$23/2*((1-COS(RADIANS(A71)))+1/Otto!$C$26*(1-SQRT(1-Otto!$C$26^2*SIN(RADIANS(A71))^2)))</f>
        <v>239.340485225457</v>
      </c>
      <c r="D71" s="11" t="n">
        <f aca="false">Otto!$C$6*(Otto!$C$25/C71)^Otto!$C$10</f>
        <v>141.460110211162</v>
      </c>
      <c r="E71" s="11" t="n">
        <f aca="false">D71*C71*0.000001/(Otto!$C$28*Otto!$C$13)</f>
        <v>354.330829286383</v>
      </c>
    </row>
    <row r="72" customFormat="false" ht="15" hidden="false" customHeight="false" outlineLevel="0" collapsed="false">
      <c r="A72" s="17" t="n">
        <v>268</v>
      </c>
      <c r="B72" s="5" t="s">
        <v>127</v>
      </c>
      <c r="C72" s="11" t="n">
        <f aca="false">Otto!$C$24+Otto!$C$23/2*((1-COS(RADIANS(A72)))+1/Otto!$C$26*(1-SQRT(1-Otto!$C$26^2*SIN(RADIANS(A72))^2)))</f>
        <v>228.320122575324</v>
      </c>
      <c r="D72" s="11" t="n">
        <f aca="false">Otto!$C$6*(Otto!$C$25/C72)^Otto!$C$10</f>
        <v>151.110541420089</v>
      </c>
      <c r="E72" s="11" t="n">
        <f aca="false">D72*C72*0.000001/(Otto!$C$28*Otto!$C$13)</f>
        <v>361.075259432175</v>
      </c>
    </row>
    <row r="73" customFormat="false" ht="15" hidden="false" customHeight="false" outlineLevel="0" collapsed="false">
      <c r="A73" s="17" t="n">
        <v>272</v>
      </c>
      <c r="B73" s="5" t="s">
        <v>127</v>
      </c>
      <c r="C73" s="11" t="n">
        <f aca="false">Otto!$C$24+Otto!$C$23/2*((1-COS(RADIANS(A73)))+1/Otto!$C$26*(1-SQRT(1-Otto!$C$26^2*SIN(RADIANS(A73))^2)))</f>
        <v>217.063657623321</v>
      </c>
      <c r="D73" s="11" t="n">
        <f aca="false">Otto!$C$6*(Otto!$C$25/C73)^Otto!$C$10</f>
        <v>162.193954503192</v>
      </c>
      <c r="E73" s="11" t="n">
        <f aca="false">D73*C73*0.000001/(Otto!$C$28*Otto!$C$13)</f>
        <v>368.451696737629</v>
      </c>
    </row>
    <row r="74" customFormat="false" ht="15" hidden="false" customHeight="false" outlineLevel="0" collapsed="false">
      <c r="A74" s="17" t="n">
        <v>276</v>
      </c>
      <c r="B74" s="5" t="s">
        <v>127</v>
      </c>
      <c r="C74" s="11" t="n">
        <f aca="false">Otto!$C$24+Otto!$C$23/2*((1-COS(RADIANS(A74)))+1/Otto!$C$26*(1-SQRT(1-Otto!$C$26^2*SIN(RADIANS(A74))^2)))</f>
        <v>205.625930735197</v>
      </c>
      <c r="D74" s="11" t="n">
        <f aca="false">Otto!$C$6*(Otto!$C$25/C74)^Otto!$C$10</f>
        <v>174.963554311912</v>
      </c>
      <c r="E74" s="11" t="n">
        <f aca="false">D74*C74*0.000001/(Otto!$C$28*Otto!$C$13)</f>
        <v>376.516709940927</v>
      </c>
    </row>
    <row r="75" customFormat="false" ht="15" hidden="false" customHeight="false" outlineLevel="0" collapsed="false">
      <c r="A75" s="17" t="n">
        <v>280</v>
      </c>
      <c r="B75" s="5" t="s">
        <v>127</v>
      </c>
      <c r="C75" s="11" t="n">
        <f aca="false">Otto!$C$24+Otto!$C$23/2*((1-COS(RADIANS(A75)))+1/Otto!$C$26*(1-SQRT(1-Otto!$C$26^2*SIN(RADIANS(A75))^2)))</f>
        <v>194.065922731762</v>
      </c>
      <c r="D75" s="11" t="n">
        <f aca="false">Otto!$C$6*(Otto!$C$25/C75)^Otto!$C$10</f>
        <v>189.726341354933</v>
      </c>
      <c r="E75" s="11" t="n">
        <f aca="false">D75*C75*0.000001/(Otto!$C$28*Otto!$C$13)</f>
        <v>385.332548588004</v>
      </c>
    </row>
    <row r="76" customFormat="false" ht="15" hidden="false" customHeight="false" outlineLevel="0" collapsed="false">
      <c r="A76" s="17" t="n">
        <v>284</v>
      </c>
      <c r="B76" s="5" t="s">
        <v>127</v>
      </c>
      <c r="C76" s="11" t="n">
        <f aca="false">Otto!$C$24+Otto!$C$23/2*((1-COS(RADIANS(A76)))+1/Otto!$C$26*(1-SQRT(1-Otto!$C$26^2*SIN(RADIANS(A76))^2)))</f>
        <v>182.446387679947</v>
      </c>
      <c r="D76" s="11" t="n">
        <f aca="false">Otto!$C$6*(Otto!$C$25/C76)^Otto!$C$10</f>
        <v>206.85558421184</v>
      </c>
      <c r="E76" s="11" t="n">
        <f aca="false">D76*C76*0.000001/(Otto!$C$28*Otto!$C$13)</f>
        <v>394.967444386487</v>
      </c>
    </row>
    <row r="77" customFormat="false" ht="15" hidden="false" customHeight="false" outlineLevel="0" collapsed="false">
      <c r="A77" s="17" t="n">
        <v>288</v>
      </c>
      <c r="B77" s="5" t="s">
        <v>127</v>
      </c>
      <c r="C77" s="11" t="n">
        <f aca="false">Otto!$C$24+Otto!$C$23/2*((1-COS(RADIANS(A77)))+1/Otto!$C$26*(1-SQRT(1-Otto!$C$26^2*SIN(RADIANS(A77))^2)))</f>
        <v>170.833390457673</v>
      </c>
      <c r="D77" s="11" t="n">
        <f aca="false">Otto!$C$6*(Otto!$C$25/C77)^Otto!$C$10</f>
        <v>226.806116179091</v>
      </c>
      <c r="E77" s="11" t="n">
        <f aca="false">D77*C77*0.000001/(Otto!$C$28*Otto!$C$13)</f>
        <v>405.495746924603</v>
      </c>
    </row>
    <row r="78" customFormat="false" ht="15" hidden="false" customHeight="false" outlineLevel="0" collapsed="false">
      <c r="A78" s="17" t="n">
        <v>292</v>
      </c>
      <c r="B78" s="5" t="s">
        <v>127</v>
      </c>
      <c r="C78" s="11" t="n">
        <f aca="false">Otto!$C$24+Otto!$C$23/2*((1-COS(RADIANS(A78)))+1/Otto!$C$26*(1-SQRT(1-Otto!$C$26^2*SIN(RADIANS(A78))^2)))</f>
        <v>159.295757171344</v>
      </c>
      <c r="D78" s="11" t="n">
        <f aca="false">Otto!$C$6*(Otto!$C$25/C78)^Otto!$C$10</f>
        <v>250.132851544109</v>
      </c>
      <c r="E78" s="11" t="n">
        <f aca="false">D78*C78*0.000001/(Otto!$C$28*Otto!$C$13)</f>
        <v>416.997761958225</v>
      </c>
    </row>
    <row r="79" customFormat="false" ht="15" hidden="false" customHeight="false" outlineLevel="0" collapsed="false">
      <c r="A79" s="17" t="n">
        <v>296</v>
      </c>
      <c r="B79" s="5" t="s">
        <v>127</v>
      </c>
      <c r="C79" s="11" t="n">
        <f aca="false">Otto!$C$24+Otto!$C$23/2*((1-COS(RADIANS(A79)))+1/Otto!$C$26*(1-SQRT(1-Otto!$C$26^2*SIN(RADIANS(A79))^2)))</f>
        <v>147.90444934515</v>
      </c>
      <c r="D79" s="11" t="n">
        <f aca="false">Otto!$C$6*(Otto!$C$25/C79)^Otto!$C$10</f>
        <v>277.512718443666</v>
      </c>
      <c r="E79" s="11" t="n">
        <f aca="false">D79*C79*0.000001/(Otto!$C$28*Otto!$C$13)</f>
        <v>429.559088318813</v>
      </c>
    </row>
    <row r="80" customFormat="false" ht="15" hidden="false" customHeight="false" outlineLevel="0" collapsed="false">
      <c r="A80" s="17" t="n">
        <v>300</v>
      </c>
      <c r="B80" s="5" t="s">
        <v>127</v>
      </c>
      <c r="C80" s="11" t="n">
        <f aca="false">Otto!$C$24+Otto!$C$23/2*((1-COS(RADIANS(A80)))+1/Otto!$C$26*(1-SQRT(1-Otto!$C$26^2*SIN(RADIANS(A80))^2)))</f>
        <v>136.731875052861</v>
      </c>
      <c r="D80" s="11" t="n">
        <f aca="false">Otto!$C$6*(Otto!$C$25/C80)^Otto!$C$10</f>
        <v>309.769709773152</v>
      </c>
      <c r="E80" s="11" t="n">
        <f aca="false">D80*C80*0.000001/(Otto!$C$28*Otto!$C$13)</f>
        <v>443.269142633596</v>
      </c>
    </row>
    <row r="81" customFormat="false" ht="15" hidden="false" customHeight="false" outlineLevel="0" collapsed="false">
      <c r="A81" s="17" t="n">
        <v>304</v>
      </c>
      <c r="B81" s="5" t="s">
        <v>127</v>
      </c>
      <c r="C81" s="11" t="n">
        <f aca="false">Otto!$C$24+Otto!$C$23/2*((1-COS(RADIANS(A81)))+1/Otto!$C$26*(1-SQRT(1-Otto!$C$26^2*SIN(RADIANS(A81))^2)))</f>
        <v>125.851151727515</v>
      </c>
      <c r="D81" s="11" t="n">
        <f aca="false">Otto!$C$6*(Otto!$C$25/C81)^Otto!$C$10</f>
        <v>347.901702506689</v>
      </c>
      <c r="E81" s="11" t="n">
        <f aca="false">D81*C81*0.000001/(Otto!$C$28*Otto!$C$13)</f>
        <v>458.21840555339</v>
      </c>
    </row>
    <row r="82" customFormat="false" ht="15" hidden="false" customHeight="false" outlineLevel="0" collapsed="false">
      <c r="A82" s="17" t="n">
        <v>308</v>
      </c>
      <c r="B82" s="5" t="s">
        <v>127</v>
      </c>
      <c r="C82" s="11" t="n">
        <f aca="false">Otto!$C$24+Otto!$C$23/2*((1-COS(RADIANS(A82)))+1/Otto!$C$26*(1-SQRT(1-Otto!$C$26^2*SIN(RADIANS(A82))^2)))</f>
        <v>115.335336227898</v>
      </c>
      <c r="D82" s="11" t="n">
        <f aca="false">Otto!$C$6*(Otto!$C$25/C82)^Otto!$C$10</f>
        <v>393.105649845923</v>
      </c>
      <c r="E82" s="11" t="n">
        <f aca="false">D82*C82*0.000001/(Otto!$C$28*Otto!$C$13)</f>
        <v>474.493702819482</v>
      </c>
    </row>
    <row r="83" customFormat="false" ht="15" hidden="false" customHeight="false" outlineLevel="0" collapsed="false">
      <c r="A83" s="17" t="n">
        <v>312</v>
      </c>
      <c r="B83" s="5" t="s">
        <v>127</v>
      </c>
      <c r="C83" s="11" t="n">
        <f aca="false">Otto!$C$24+Otto!$C$23/2*((1-COS(RADIANS(A83)))+1/Otto!$C$26*(1-SQRT(1-Otto!$C$26^2*SIN(RADIANS(A83))^2)))</f>
        <v>105.256637889547</v>
      </c>
      <c r="D83" s="11" t="n">
        <f aca="false">Otto!$C$6*(Otto!$C$25/C83)^Otto!$C$10</f>
        <v>446.794002745185</v>
      </c>
      <c r="E83" s="11" t="n">
        <f aca="false">D83*C83*0.000001/(Otto!$C$28*Otto!$C$13)</f>
        <v>492.170535033965</v>
      </c>
    </row>
    <row r="84" customFormat="false" ht="15" hidden="false" customHeight="false" outlineLevel="0" collapsed="false">
      <c r="A84" s="17" t="n">
        <v>316</v>
      </c>
      <c r="B84" s="5" t="s">
        <v>127</v>
      </c>
      <c r="C84" s="11" t="n">
        <f aca="false">Otto!$C$24+Otto!$C$23/2*((1-COS(RADIANS(A84)))+1/Otto!$C$26*(1-SQRT(1-Otto!$C$26^2*SIN(RADIANS(A84))^2)))</f>
        <v>95.6856298193817</v>
      </c>
      <c r="D84" s="11" t="n">
        <f aca="false">Otto!$C$6*(Otto!$C$25/C84)^Otto!$C$10</f>
        <v>510.588722709683</v>
      </c>
      <c r="E84" s="11" t="n">
        <f aca="false">D84*C84*0.000001/(Otto!$C$28*Otto!$C$13)</f>
        <v>511.301091223805</v>
      </c>
    </row>
    <row r="85" customFormat="false" ht="15" hidden="false" customHeight="false" outlineLevel="0" collapsed="false">
      <c r="A85" s="17" t="n">
        <v>320</v>
      </c>
      <c r="B85" s="5" t="s">
        <v>127</v>
      </c>
      <c r="C85" s="11" t="n">
        <f aca="false">Otto!$C$24+Otto!$C$23/2*((1-COS(RADIANS(A85)))+1/Otto!$C$26*(1-SQRT(1-Otto!$C$26^2*SIN(RADIANS(A85))^2)))</f>
        <v>86.6904727207557</v>
      </c>
      <c r="D85" s="11" t="n">
        <f aca="false">Otto!$C$6*(Otto!$C$25/C85)^Otto!$C$10</f>
        <v>586.268697345204</v>
      </c>
      <c r="E85" s="11" t="n">
        <f aca="false">D85*C85*0.000001/(Otto!$C$28*Otto!$C$13)</f>
        <v>531.896165028319</v>
      </c>
    </row>
    <row r="86" customFormat="false" ht="15" hidden="false" customHeight="false" outlineLevel="0" collapsed="false">
      <c r="A86" s="17" t="n">
        <v>324</v>
      </c>
      <c r="B86" s="5" t="s">
        <v>127</v>
      </c>
      <c r="C86" s="11" t="n">
        <f aca="false">Otto!$C$24+Otto!$C$23/2*((1-COS(RADIANS(A86)))+1/Otto!$C$26*(1-SQRT(1-Otto!$C$26^2*SIN(RADIANS(A86))^2)))</f>
        <v>78.3361641933594</v>
      </c>
      <c r="D86" s="11" t="n">
        <f aca="false">Otto!$C$6*(Otto!$C$25/C86)^Otto!$C$10</f>
        <v>675.630743480897</v>
      </c>
      <c r="E86" s="11" t="n">
        <f aca="false">D86*C86*0.000001/(Otto!$C$28*Otto!$C$13)</f>
        <v>553.898879625961</v>
      </c>
    </row>
    <row r="87" customFormat="false" ht="15" hidden="false" customHeight="false" outlineLevel="0" collapsed="false">
      <c r="A87" s="17" t="n">
        <v>328</v>
      </c>
      <c r="B87" s="5" t="s">
        <v>127</v>
      </c>
      <c r="C87" s="11" t="n">
        <f aca="false">Otto!$C$24+Otto!$C$23/2*((1-COS(RADIANS(A87)))+1/Otto!$C$26*(1-SQRT(1-Otto!$C$26^2*SIN(RADIANS(A87))^2)))</f>
        <v>70.6838248781049</v>
      </c>
      <c r="D87" s="11" t="n">
        <f aca="false">Otto!$C$6*(Otto!$C$25/C87)^Otto!$C$10</f>
        <v>780.204708635025</v>
      </c>
      <c r="E87" s="11" t="n">
        <f aca="false">D87*C87*0.000001/(Otto!$C$28*Otto!$C$13)</f>
        <v>577.148259950597</v>
      </c>
    </row>
    <row r="88" customFormat="false" ht="15" hidden="false" customHeight="false" outlineLevel="0" collapsed="false">
      <c r="A88" s="17" t="n">
        <v>332</v>
      </c>
      <c r="B88" s="5" t="s">
        <v>127</v>
      </c>
      <c r="C88" s="11" t="n">
        <f aca="false">Otto!$C$24+Otto!$C$23/2*((1-COS(RADIANS(A88)))+1/Otto!$C$26*(1-SQRT(1-Otto!$C$26^2*SIN(RADIANS(A88))^2)))</f>
        <v>63.7900311401053</v>
      </c>
      <c r="D88" s="11" t="n">
        <f aca="false">Otto!$C$6*(Otto!$C$25/C88)^Otto!$C$10</f>
        <v>900.746713689206</v>
      </c>
      <c r="E88" s="11" t="n">
        <f aca="false">D88*C88*0.000001/(Otto!$C$28*Otto!$C$13)</f>
        <v>601.331953394244</v>
      </c>
    </row>
    <row r="89" customFormat="false" ht="15" hidden="false" customHeight="false" outlineLevel="0" collapsed="false">
      <c r="A89" s="17" t="n">
        <v>336</v>
      </c>
      <c r="B89" s="5" t="s">
        <v>127</v>
      </c>
      <c r="C89" s="11" t="n">
        <f aca="false">Otto!$C$24+Otto!$C$23/2*((1-COS(RADIANS(A89)))+1/Otto!$C$26*(1-SQRT(1-Otto!$C$26^2*SIN(RADIANS(A89))^2)))</f>
        <v>57.7062023140029</v>
      </c>
      <c r="D89" s="11" t="n">
        <f aca="false">Otto!$C$6*(Otto!$C$25/C89)^Otto!$C$10</f>
        <v>1036.44231215469</v>
      </c>
      <c r="E89" s="11" t="n">
        <f aca="false">D89*C89*0.000001/(Otto!$C$28*Otto!$C$13)</f>
        <v>625.930926306371</v>
      </c>
    </row>
    <row r="90" customFormat="false" ht="15" hidden="false" customHeight="false" outlineLevel="0" collapsed="false">
      <c r="A90" s="17" t="n">
        <v>340</v>
      </c>
      <c r="B90" s="5" t="s">
        <v>127</v>
      </c>
      <c r="C90" s="11" t="n">
        <f aca="false">Otto!$C$24+Otto!$C$23/2*((1-COS(RADIANS(A90)))+1/Otto!$C$26*(1-SQRT(1-Otto!$C$26^2*SIN(RADIANS(A90))^2)))</f>
        <v>52.478048962158</v>
      </c>
      <c r="D90" s="11" t="n">
        <f aca="false">Otto!$C$6*(Otto!$C$25/C90)^Otto!$C$10</f>
        <v>1183.82599880299</v>
      </c>
      <c r="E90" s="11" t="n">
        <f aca="false">D90*C90*0.000001/(Otto!$C$28*Otto!$C$13)</f>
        <v>650.166120903683</v>
      </c>
    </row>
    <row r="91" customFormat="false" ht="15" hidden="false" customHeight="false" outlineLevel="0" collapsed="false">
      <c r="A91" s="17" t="n">
        <v>344</v>
      </c>
      <c r="B91" s="5" t="s">
        <v>127</v>
      </c>
      <c r="C91" s="11" t="n">
        <f aca="false">Otto!$C$24+Otto!$C$23/2*((1-COS(RADIANS(A91)))+1/Otto!$C$26*(1-SQRT(1-Otto!$C$26^2*SIN(RADIANS(A91))^2)))</f>
        <v>48.145087178533</v>
      </c>
      <c r="D91" s="11" t="n">
        <f aca="false">Otto!$C$6*(Otto!$C$25/C91)^Otto!$C$10</f>
        <v>1335.62290320863</v>
      </c>
      <c r="E91" s="11" t="n">
        <f aca="false">D91*C91*0.000001/(Otto!$C$28*Otto!$C$13)</f>
        <v>672.968314223438</v>
      </c>
    </row>
    <row r="92" customFormat="false" ht="15" hidden="false" customHeight="false" outlineLevel="0" collapsed="false">
      <c r="A92" s="17" t="n">
        <v>348</v>
      </c>
      <c r="B92" s="5" t="s">
        <v>127</v>
      </c>
      <c r="C92" s="11" t="n">
        <f aca="false">Otto!$C$24+Otto!$C$23/2*((1-COS(RADIANS(A92)))+1/Otto!$C$26*(1-SQRT(1-Otto!$C$26^2*SIN(RADIANS(A92))^2)))</f>
        <v>44.7402227453271</v>
      </c>
      <c r="D92" s="11" t="n">
        <f aca="false">Otto!$C$6*(Otto!$C$25/C92)^Otto!$C$10</f>
        <v>1480.05967900487</v>
      </c>
      <c r="E92" s="11" t="n">
        <f aca="false">D92*C92*0.000001/(Otto!$C$28*Otto!$C$13)</f>
        <v>693.004653265528</v>
      </c>
    </row>
    <row r="93" customFormat="false" ht="15" hidden="false" customHeight="false" outlineLevel="0" collapsed="false">
      <c r="A93" s="17" t="n">
        <v>352</v>
      </c>
      <c r="B93" s="5" t="s">
        <v>127</v>
      </c>
      <c r="C93" s="11" t="n">
        <f aca="false">Otto!$C$24+Otto!$C$23/2*((1-COS(RADIANS(A93)))+1/Otto!$C$26*(1-SQRT(1-Otto!$C$26^2*SIN(RADIANS(A93))^2)))</f>
        <v>42.2894079288863</v>
      </c>
      <c r="D93" s="11" t="n">
        <f aca="false">Otto!$C$6*(Otto!$C$25/C93)^Otto!$C$10</f>
        <v>1601.52004701505</v>
      </c>
      <c r="E93" s="11" t="n">
        <f aca="false">D93*C93*0.000001/(Otto!$C$28*Otto!$C$13)</f>
        <v>708.798460474223</v>
      </c>
    </row>
    <row r="94" customFormat="false" ht="15" hidden="false" customHeight="false" outlineLevel="0" collapsed="false">
      <c r="A94" s="17" t="n">
        <v>356</v>
      </c>
      <c r="B94" s="5" t="s">
        <v>127</v>
      </c>
      <c r="C94" s="11" t="n">
        <f aca="false">Otto!$C$24+Otto!$C$23/2*((1-COS(RADIANS(A94)))+1/Otto!$C$26*(1-SQRT(1-Otto!$C$26^2*SIN(RADIANS(A94))^2)))</f>
        <v>40.8113728808807</v>
      </c>
      <c r="D94" s="11" t="n">
        <f aca="false">Otto!$C$6*(Otto!$C$25/C94)^Otto!$C$10</f>
        <v>1683.30548968975</v>
      </c>
      <c r="E94" s="11" t="n">
        <f aca="false">D94*C94*0.000001/(Otto!$C$28*Otto!$C$13)</f>
        <v>718.957015252054</v>
      </c>
    </row>
    <row r="95" customFormat="false" ht="15" hidden="false" customHeight="false" outlineLevel="0" collapsed="false">
      <c r="A95" s="17" t="n">
        <v>360</v>
      </c>
      <c r="B95" s="5" t="s">
        <v>127</v>
      </c>
      <c r="C95" s="11" t="n">
        <f aca="false">Otto!$C$24+Otto!$C$23/2*((1-COS(RADIANS(A95)))+1/Otto!$C$26*(1-SQRT(1-Otto!$C$26^2*SIN(RADIANS(A95))^2)))</f>
        <v>40.3174329703038</v>
      </c>
      <c r="D95" s="11" t="n">
        <f aca="false">Otto!$C$6*(Otto!$C$25/C95)^Otto!$C$10</f>
        <v>1712.24775123457</v>
      </c>
      <c r="E95" s="11" t="n">
        <f aca="false">D95*C95*0.000001/(Otto!$C$28*Otto!$C$13)</f>
        <v>722.467405584208</v>
      </c>
    </row>
    <row r="96" customFormat="false" ht="15" hidden="false" customHeight="false" outlineLevel="0" collapsed="false">
      <c r="A96" s="17" t="n">
        <v>364</v>
      </c>
      <c r="B96" s="5" t="s">
        <v>128</v>
      </c>
      <c r="C96" s="11" t="n">
        <f aca="false">Otto!$C$24+Otto!$C$23/2*((1-COS(RADIANS(A96)))+1/Otto!$C$26*(1-SQRT(1-Otto!$C$26^2*SIN(RADIANS(A96))^2)))</f>
        <v>40.8113728808807</v>
      </c>
      <c r="D96" s="11" t="n">
        <f aca="false">Otto!$B$34*(Otto!$F$34/C96)^Otto!$C$10</f>
        <v>7524.37994465121</v>
      </c>
      <c r="E96" s="11" t="n">
        <f aca="false">D96*C96*0.000001/(Otto!$C$28*Otto!$C$13)</f>
        <v>3213.73973991252</v>
      </c>
    </row>
    <row r="97" customFormat="false" ht="15" hidden="false" customHeight="false" outlineLevel="0" collapsed="false">
      <c r="A97" s="17" t="n">
        <v>368</v>
      </c>
      <c r="B97" s="5" t="s">
        <v>128</v>
      </c>
      <c r="C97" s="11" t="n">
        <f aca="false">Otto!$C$24+Otto!$C$23/2*((1-COS(RADIANS(A97)))+1/Otto!$C$26*(1-SQRT(1-Otto!$C$26^2*SIN(RADIANS(A97))^2)))</f>
        <v>42.2894079288863</v>
      </c>
      <c r="D97" s="11" t="n">
        <f aca="false">Otto!$B$34*(Otto!$F$34/C97)^Otto!$C$10</f>
        <v>7158.79880183721</v>
      </c>
      <c r="E97" s="11" t="n">
        <f aca="false">D97*C97*0.000001/(Otto!$C$28*Otto!$C$13)</f>
        <v>3168.3309734675</v>
      </c>
    </row>
    <row r="98" customFormat="false" ht="15" hidden="false" customHeight="false" outlineLevel="0" collapsed="false">
      <c r="A98" s="17" t="n">
        <v>372</v>
      </c>
      <c r="B98" s="5" t="s">
        <v>128</v>
      </c>
      <c r="C98" s="11" t="n">
        <f aca="false">Otto!$C$24+Otto!$C$23/2*((1-COS(RADIANS(A98)))+1/Otto!$C$26*(1-SQRT(1-Otto!$C$26^2*SIN(RADIANS(A98))^2)))</f>
        <v>44.7402227453271</v>
      </c>
      <c r="D98" s="11" t="n">
        <f aca="false">Otto!$B$34*(Otto!$F$34/C98)^Otto!$C$10</f>
        <v>6615.87063893184</v>
      </c>
      <c r="E98" s="11" t="n">
        <f aca="false">D98*C98*0.000001/(Otto!$C$28*Otto!$C$13)</f>
        <v>3097.73261390729</v>
      </c>
    </row>
    <row r="99" customFormat="false" ht="15" hidden="false" customHeight="false" outlineLevel="0" collapsed="false">
      <c r="A99" s="17" t="n">
        <v>376</v>
      </c>
      <c r="B99" s="5" t="s">
        <v>128</v>
      </c>
      <c r="C99" s="11" t="n">
        <f aca="false">Otto!$C$24+Otto!$C$23/2*((1-COS(RADIANS(A99)))+1/Otto!$C$26*(1-SQRT(1-Otto!$C$26^2*SIN(RADIANS(A99))^2)))</f>
        <v>48.1450871785331</v>
      </c>
      <c r="D99" s="11" t="n">
        <f aca="false">Otto!$B$34*(Otto!$F$34/C99)^Otto!$C$10</f>
        <v>5970.23787308633</v>
      </c>
      <c r="E99" s="11" t="n">
        <f aca="false">D99*C99*0.000001/(Otto!$C$28*Otto!$C$13)</f>
        <v>3008.17012594777</v>
      </c>
    </row>
    <row r="100" customFormat="false" ht="15" hidden="false" customHeight="false" outlineLevel="0" collapsed="false">
      <c r="A100" s="17" t="n">
        <v>380</v>
      </c>
      <c r="B100" s="5" t="s">
        <v>128</v>
      </c>
      <c r="C100" s="11" t="n">
        <f aca="false">Otto!$C$24+Otto!$C$23/2*((1-COS(RADIANS(A100)))+1/Otto!$C$26*(1-SQRT(1-Otto!$C$26^2*SIN(RADIANS(A100))^2)))</f>
        <v>52.478048962158</v>
      </c>
      <c r="D100" s="11" t="n">
        <f aca="false">Otto!$B$34*(Otto!$F$34/C100)^Otto!$C$10</f>
        <v>5291.70531309305</v>
      </c>
      <c r="E100" s="11" t="n">
        <f aca="false">D100*C100*0.000001/(Otto!$C$28*Otto!$C$13)</f>
        <v>2906.24426212798</v>
      </c>
    </row>
    <row r="101" customFormat="false" ht="15" hidden="false" customHeight="false" outlineLevel="0" collapsed="false">
      <c r="A101" s="17" t="n">
        <v>384</v>
      </c>
      <c r="B101" s="5" t="s">
        <v>128</v>
      </c>
      <c r="C101" s="11" t="n">
        <f aca="false">Otto!$C$24+Otto!$C$23/2*((1-COS(RADIANS(A101)))+1/Otto!$C$26*(1-SQRT(1-Otto!$C$26^2*SIN(RADIANS(A101))^2)))</f>
        <v>57.7062023140029</v>
      </c>
      <c r="D101" s="11" t="n">
        <f aca="false">Otto!$B$34*(Otto!$F$34/C101)^Otto!$C$10</f>
        <v>4632.89984802584</v>
      </c>
      <c r="E101" s="11" t="n">
        <f aca="false">D101*C101*0.000001/(Otto!$C$28*Otto!$C$13)</f>
        <v>2797.91287884689</v>
      </c>
    </row>
    <row r="102" customFormat="false" ht="15" hidden="false" customHeight="false" outlineLevel="0" collapsed="false">
      <c r="A102" s="17" t="n">
        <v>388</v>
      </c>
      <c r="B102" s="5" t="s">
        <v>128</v>
      </c>
      <c r="C102" s="11" t="n">
        <f aca="false">Otto!$C$24+Otto!$C$23/2*((1-COS(RADIANS(A102)))+1/Otto!$C$26*(1-SQRT(1-Otto!$C$26^2*SIN(RADIANS(A102))^2)))</f>
        <v>63.7900311401052</v>
      </c>
      <c r="D102" s="11" t="n">
        <f aca="false">Otto!$B$34*(Otto!$F$34/C102)^Otto!$C$10</f>
        <v>4026.34016772722</v>
      </c>
      <c r="E102" s="11" t="n">
        <f aca="false">D102*C102*0.000001/(Otto!$C$28*Otto!$C$13)</f>
        <v>2687.95540554646</v>
      </c>
    </row>
    <row r="103" customFormat="false" ht="15" hidden="false" customHeight="false" outlineLevel="0" collapsed="false">
      <c r="A103" s="17" t="n">
        <v>392</v>
      </c>
      <c r="B103" s="5" t="s">
        <v>128</v>
      </c>
      <c r="C103" s="11" t="n">
        <f aca="false">Otto!$C$24+Otto!$C$23/2*((1-COS(RADIANS(A103)))+1/Otto!$C$26*(1-SQRT(1-Otto!$C$26^2*SIN(RADIANS(A103))^2)))</f>
        <v>70.6838248781048</v>
      </c>
      <c r="D103" s="11" t="n">
        <f aca="false">Otto!$B$34*(Otto!$F$34/C103)^Otto!$C$10</f>
        <v>3487.51708963882</v>
      </c>
      <c r="E103" s="11" t="n">
        <f aca="false">D103*C103*0.000001/(Otto!$C$28*Otto!$C$13)</f>
        <v>2579.85423255706</v>
      </c>
    </row>
    <row r="104" customFormat="false" ht="15" hidden="false" customHeight="false" outlineLevel="0" collapsed="false">
      <c r="A104" s="17" t="n">
        <v>396</v>
      </c>
      <c r="B104" s="5" t="s">
        <v>128</v>
      </c>
      <c r="C104" s="11" t="n">
        <f aca="false">Otto!$C$24+Otto!$C$23/2*((1-COS(RADIANS(A104)))+1/Otto!$C$26*(1-SQRT(1-Otto!$C$26^2*SIN(RADIANS(A104))^2)))</f>
        <v>78.3361641933594</v>
      </c>
      <c r="D104" s="11" t="n">
        <f aca="false">Otto!$B$34*(Otto!$F$34/C104)^Otto!$C$10</f>
        <v>3020.07119169702</v>
      </c>
      <c r="E104" s="11" t="n">
        <f aca="false">D104*C104*0.000001/(Otto!$C$28*Otto!$C$13)</f>
        <v>2475.92944165501</v>
      </c>
    </row>
    <row r="105" customFormat="false" ht="15" hidden="false" customHeight="false" outlineLevel="0" collapsed="false">
      <c r="A105" s="17" t="n">
        <v>400</v>
      </c>
      <c r="B105" s="5" t="s">
        <v>128</v>
      </c>
      <c r="C105" s="11" t="n">
        <f aca="false">Otto!$C$24+Otto!$C$23/2*((1-COS(RADIANS(A105)))+1/Otto!$C$26*(1-SQRT(1-Otto!$C$26^2*SIN(RADIANS(A105))^2)))</f>
        <v>86.6904727207556</v>
      </c>
      <c r="D105" s="11" t="n">
        <f aca="false">Otto!$B$34*(Otto!$F$34/C105)^Otto!$C$10</f>
        <v>2620.62261158199</v>
      </c>
      <c r="E105" s="11" t="n">
        <f aca="false">D105*C105*0.000001/(Otto!$C$28*Otto!$C$13)</f>
        <v>2377.57724981556</v>
      </c>
    </row>
    <row r="106" customFormat="false" ht="15" hidden="false" customHeight="false" outlineLevel="0" collapsed="false">
      <c r="A106" s="17" t="n">
        <v>404</v>
      </c>
      <c r="B106" s="5" t="s">
        <v>128</v>
      </c>
      <c r="C106" s="11" t="n">
        <f aca="false">Otto!$C$24+Otto!$C$23/2*((1-COS(RADIANS(A106)))+1/Otto!$C$26*(1-SQRT(1-Otto!$C$26^2*SIN(RADIANS(A106))^2)))</f>
        <v>95.6856298193817</v>
      </c>
      <c r="D106" s="11" t="n">
        <f aca="false">Otto!$B$34*(Otto!$F$34/C106)^Otto!$C$10</f>
        <v>2282.332926883</v>
      </c>
      <c r="E106" s="11" t="n">
        <f aca="false">D106*C106*0.000001/(Otto!$C$28*Otto!$C$13)</f>
        <v>2285.51721600562</v>
      </c>
    </row>
    <row r="107" customFormat="false" ht="15" hidden="false" customHeight="false" outlineLevel="0" collapsed="false">
      <c r="A107" s="17" t="n">
        <v>408</v>
      </c>
      <c r="B107" s="5" t="s">
        <v>128</v>
      </c>
      <c r="C107" s="11" t="n">
        <f aca="false">Otto!$C$24+Otto!$C$23/2*((1-COS(RADIANS(A107)))+1/Otto!$C$26*(1-SQRT(1-Otto!$C$26^2*SIN(RADIANS(A107))^2)))</f>
        <v>105.256637889547</v>
      </c>
      <c r="D107" s="11" t="n">
        <f aca="false">Otto!$B$34*(Otto!$F$34/C107)^Otto!$C$10</f>
        <v>1997.17036167092</v>
      </c>
      <c r="E107" s="11" t="n">
        <f aca="false">D107*C107*0.000001/(Otto!$C$28*Otto!$C$13)</f>
        <v>2200.00357976637</v>
      </c>
    </row>
    <row r="108" customFormat="false" ht="15" hidden="false" customHeight="false" outlineLevel="0" collapsed="false">
      <c r="A108" s="17" t="n">
        <v>412</v>
      </c>
      <c r="B108" s="5" t="s">
        <v>128</v>
      </c>
      <c r="C108" s="11" t="n">
        <f aca="false">Otto!$C$24+Otto!$C$23/2*((1-COS(RADIANS(A108)))+1/Otto!$C$26*(1-SQRT(1-Otto!$C$26^2*SIN(RADIANS(A108))^2)))</f>
        <v>115.335336227898</v>
      </c>
      <c r="D108" s="11" t="n">
        <f aca="false">Otto!$B$34*(Otto!$F$34/C108)^Otto!$C$10</f>
        <v>1757.18328369197</v>
      </c>
      <c r="E108" s="11" t="n">
        <f aca="false">D108*C108*0.000001/(Otto!$C$28*Otto!$C$13)</f>
        <v>2120.98809350182</v>
      </c>
    </row>
    <row r="109" customFormat="false" ht="15" hidden="false" customHeight="false" outlineLevel="0" collapsed="false">
      <c r="A109" s="17" t="n">
        <v>416</v>
      </c>
      <c r="B109" s="5" t="s">
        <v>128</v>
      </c>
      <c r="C109" s="11" t="n">
        <f aca="false">Otto!$C$24+Otto!$C$23/2*((1-COS(RADIANS(A109)))+1/Otto!$C$26*(1-SQRT(1-Otto!$C$26^2*SIN(RADIANS(A109))^2)))</f>
        <v>125.851151727515</v>
      </c>
      <c r="D109" s="11" t="n">
        <f aca="false">Otto!$B$34*(Otto!$F$34/C109)^Otto!$C$10</f>
        <v>1555.12152077269</v>
      </c>
      <c r="E109" s="11" t="n">
        <f aca="false">D109*C109*0.000001/(Otto!$C$28*Otto!$C$13)</f>
        <v>2048.23747212483</v>
      </c>
    </row>
    <row r="110" customFormat="false" ht="15" hidden="false" customHeight="false" outlineLevel="0" collapsed="false">
      <c r="A110" s="17" t="n">
        <v>420</v>
      </c>
      <c r="B110" s="5" t="s">
        <v>128</v>
      </c>
      <c r="C110" s="11" t="n">
        <f aca="false">Otto!$C$24+Otto!$C$23/2*((1-COS(RADIANS(A110)))+1/Otto!$C$26*(1-SQRT(1-Otto!$C$26^2*SIN(RADIANS(A110))^2)))</f>
        <v>136.731875052861</v>
      </c>
      <c r="D110" s="11" t="n">
        <f aca="false">Otto!$B$34*(Otto!$F$34/C110)^Otto!$C$10</f>
        <v>1384.67141345041</v>
      </c>
      <c r="E110" s="11" t="n">
        <f aca="false">D110*C110*0.000001/(Otto!$C$28*Otto!$C$13)</f>
        <v>1981.41422774645</v>
      </c>
    </row>
    <row r="111" customFormat="false" ht="15" hidden="false" customHeight="false" outlineLevel="0" collapsed="false">
      <c r="A111" s="17" t="n">
        <v>424</v>
      </c>
      <c r="B111" s="5" t="s">
        <v>128</v>
      </c>
      <c r="C111" s="11" t="n">
        <f aca="false">Otto!$C$24+Otto!$C$23/2*((1-COS(RADIANS(A111)))+1/Otto!$C$26*(1-SQRT(1-Otto!$C$26^2*SIN(RADIANS(A111))^2)))</f>
        <v>147.90444934515</v>
      </c>
      <c r="D111" s="11" t="n">
        <f aca="false">Otto!$B$34*(Otto!$F$34/C111)^Otto!$C$10</f>
        <v>1240.48257778095</v>
      </c>
      <c r="E111" s="11" t="n">
        <f aca="false">D111*C111*0.000001/(Otto!$C$28*Otto!$C$13)</f>
        <v>1920.13024907586</v>
      </c>
    </row>
    <row r="112" customFormat="false" ht="15" hidden="false" customHeight="false" outlineLevel="0" collapsed="false">
      <c r="A112" s="17" t="n">
        <v>428</v>
      </c>
      <c r="B112" s="5" t="s">
        <v>128</v>
      </c>
      <c r="C112" s="11" t="n">
        <f aca="false">Otto!$C$24+Otto!$C$23/2*((1-COS(RADIANS(A112)))+1/Otto!$C$26*(1-SQRT(1-Otto!$C$26^2*SIN(RADIANS(A112))^2)))</f>
        <v>159.295757171344</v>
      </c>
      <c r="D112" s="11" t="n">
        <f aca="false">Otto!$B$34*(Otto!$F$34/C112)^Otto!$C$10</f>
        <v>1118.09450107824</v>
      </c>
      <c r="E112" s="11" t="n">
        <f aca="false">D112*C112*0.000001/(Otto!$C$28*Otto!$C$13)</f>
        <v>1863.9810873671</v>
      </c>
    </row>
    <row r="113" customFormat="false" ht="15" hidden="false" customHeight="false" outlineLevel="0" collapsed="false">
      <c r="A113" s="17" t="n">
        <v>432</v>
      </c>
      <c r="B113" s="5" t="s">
        <v>128</v>
      </c>
      <c r="C113" s="11" t="n">
        <f aca="false">Otto!$C$24+Otto!$C$23/2*((1-COS(RADIANS(A113)))+1/Otto!$C$26*(1-SQRT(1-Otto!$C$26^2*SIN(RADIANS(A113))^2)))</f>
        <v>170.833390457673</v>
      </c>
      <c r="D113" s="11" t="n">
        <f aca="false">Otto!$B$34*(Otto!$F$34/C113)^Otto!$C$10</f>
        <v>1013.82393294323</v>
      </c>
      <c r="E113" s="11" t="n">
        <f aca="false">D113*C113*0.000001/(Otto!$C$28*Otto!$C$13)</f>
        <v>1812.56705006243</v>
      </c>
    </row>
    <row r="114" customFormat="false" ht="15" hidden="false" customHeight="false" outlineLevel="0" collapsed="false">
      <c r="A114" s="17" t="n">
        <v>436</v>
      </c>
      <c r="B114" s="5" t="s">
        <v>128</v>
      </c>
      <c r="C114" s="11" t="n">
        <f aca="false">Otto!$C$24+Otto!$C$23/2*((1-COS(RADIANS(A114)))+1/Otto!$C$26*(1-SQRT(1-Otto!$C$26^2*SIN(RADIANS(A114))^2)))</f>
        <v>182.446387679947</v>
      </c>
      <c r="D114" s="11" t="n">
        <f aca="false">Otto!$B$34*(Otto!$F$34/C114)^Otto!$C$10</f>
        <v>924.645002832824</v>
      </c>
      <c r="E114" s="11" t="n">
        <f aca="false">D114*C114*0.000001/(Otto!$C$28*Otto!$C$13)</f>
        <v>1765.50551016119</v>
      </c>
    </row>
    <row r="115" customFormat="false" ht="15" hidden="false" customHeight="false" outlineLevel="0" collapsed="false">
      <c r="A115" s="17" t="n">
        <v>440</v>
      </c>
      <c r="B115" s="5" t="s">
        <v>128</v>
      </c>
      <c r="C115" s="11" t="n">
        <f aca="false">Otto!$C$24+Otto!$C$23/2*((1-COS(RADIANS(A115)))+1/Otto!$C$26*(1-SQRT(1-Otto!$C$26^2*SIN(RADIANS(A115))^2)))</f>
        <v>194.065922731762</v>
      </c>
      <c r="D115" s="11" t="n">
        <f aca="false">Otto!$B$34*(Otto!$F$34/C115)^Otto!$C$10</f>
        <v>848.077242429851</v>
      </c>
      <c r="E115" s="11" t="n">
        <f aca="false">D115*C115*0.000001/(Otto!$C$28*Otto!$C$13)</f>
        <v>1722.43750072443</v>
      </c>
    </row>
    <row r="116" customFormat="false" ht="15" hidden="false" customHeight="false" outlineLevel="0" collapsed="false">
      <c r="A116" s="17" t="n">
        <v>444</v>
      </c>
      <c r="B116" s="5" t="s">
        <v>128</v>
      </c>
      <c r="C116" s="11" t="n">
        <f aca="false">Otto!$C$24+Otto!$C$23/2*((1-COS(RADIANS(A116)))+1/Otto!$C$26*(1-SQRT(1-Otto!$C$26^2*SIN(RADIANS(A116))^2)))</f>
        <v>205.625930735197</v>
      </c>
      <c r="D116" s="11" t="n">
        <f aca="false">Otto!$B$34*(Otto!$F$34/C116)^Otto!$C$10</f>
        <v>782.087545708704</v>
      </c>
      <c r="E116" s="11" t="n">
        <f aca="false">D116*C116*0.000001/(Otto!$C$28*Otto!$C$13)</f>
        <v>1683.03067889818</v>
      </c>
    </row>
    <row r="117" customFormat="false" ht="15" hidden="false" customHeight="false" outlineLevel="0" collapsed="false">
      <c r="A117" s="17" t="n">
        <v>448</v>
      </c>
      <c r="B117" s="5" t="s">
        <v>128</v>
      </c>
      <c r="C117" s="11" t="n">
        <f aca="false">Otto!$C$24+Otto!$C$23/2*((1-COS(RADIANS(A117)))+1/Otto!$C$26*(1-SQRT(1-Otto!$C$26^2*SIN(RADIANS(A117))^2)))</f>
        <v>217.063657623321</v>
      </c>
      <c r="D117" s="11" t="n">
        <f aca="false">Otto!$B$34*(Otto!$F$34/C117)^Otto!$C$10</f>
        <v>725.00740114168</v>
      </c>
      <c r="E117" s="11" t="n">
        <f aca="false">D117*C117*0.000001/(Otto!$C$28*Otto!$C$13)</f>
        <v>1646.98004877077</v>
      </c>
    </row>
    <row r="118" customFormat="false" ht="15" hidden="false" customHeight="false" outlineLevel="0" collapsed="false">
      <c r="A118" s="17" t="n">
        <v>452</v>
      </c>
      <c r="B118" s="5" t="s">
        <v>128</v>
      </c>
      <c r="C118" s="11" t="n">
        <f aca="false">Otto!$C$24+Otto!$C$23/2*((1-COS(RADIANS(A118)))+1/Otto!$C$26*(1-SQRT(1-Otto!$C$26^2*SIN(RADIANS(A118))^2)))</f>
        <v>228.320122575324</v>
      </c>
      <c r="D118" s="11" t="n">
        <f aca="false">Otto!$B$34*(Otto!$F$34/C118)^Otto!$C$10</f>
        <v>675.464515651448</v>
      </c>
      <c r="E118" s="11" t="n">
        <f aca="false">D118*C118*0.000001/(Otto!$C$28*Otto!$C$13)</f>
        <v>1614.00735470894</v>
      </c>
    </row>
    <row r="119" customFormat="false" ht="15" hidden="false" customHeight="false" outlineLevel="0" collapsed="false">
      <c r="A119" s="17" t="n">
        <v>456</v>
      </c>
      <c r="B119" s="5" t="s">
        <v>128</v>
      </c>
      <c r="C119" s="11" t="n">
        <f aca="false">Otto!$C$24+Otto!$C$23/2*((1-COS(RADIANS(A119)))+1/Otto!$C$26*(1-SQRT(1-Otto!$C$26^2*SIN(RADIANS(A119))^2)))</f>
        <v>239.340485225457</v>
      </c>
      <c r="D119" s="11" t="n">
        <f aca="false">Otto!$B$34*(Otto!$F$34/C119)^Otto!$C$10</f>
        <v>632.327062889341</v>
      </c>
      <c r="E119" s="11" t="n">
        <f aca="false">D119*C119*0.000001/(Otto!$C$28*Otto!$C$13)</f>
        <v>1583.85973430497</v>
      </c>
    </row>
    <row r="120" customFormat="false" ht="15" hidden="false" customHeight="false" outlineLevel="0" collapsed="false">
      <c r="A120" s="17" t="n">
        <v>460</v>
      </c>
      <c r="B120" s="5" t="s">
        <v>128</v>
      </c>
      <c r="C120" s="11" t="n">
        <f aca="false">Otto!$C$24+Otto!$C$23/2*((1-COS(RADIANS(A120)))+1/Otto!$C$26*(1-SQRT(1-Otto!$C$26^2*SIN(RADIANS(A120))^2)))</f>
        <v>250.074312839777</v>
      </c>
      <c r="D120" s="11" t="n">
        <f aca="false">Otto!$B$34*(Otto!$F$34/C120)^Otto!$C$10</f>
        <v>594.65857497578</v>
      </c>
      <c r="E120" s="11" t="n">
        <f aca="false">D120*C120*0.000001/(Otto!$C$28*Otto!$C$13)</f>
        <v>1556.30800507292</v>
      </c>
    </row>
    <row r="121" customFormat="false" ht="15" hidden="false" customHeight="false" outlineLevel="0" collapsed="false">
      <c r="A121" s="17" t="n">
        <v>464</v>
      </c>
      <c r="B121" s="5" t="s">
        <v>128</v>
      </c>
      <c r="C121" s="11" t="n">
        <f aca="false">Otto!$C$24+Otto!$C$23/2*((1-COS(RADIANS(A121)))+1/Otto!$C$26*(1-SQRT(1-Otto!$C$26^2*SIN(RADIANS(A121))^2)))</f>
        <v>260.475746159055</v>
      </c>
      <c r="D121" s="11" t="n">
        <f aca="false">Otto!$B$34*(Otto!$F$34/C121)^Otto!$C$10</f>
        <v>561.681599090361</v>
      </c>
      <c r="E121" s="11" t="n">
        <f aca="false">D121*C121*0.000001/(Otto!$C$28*Otto!$C$13)</f>
        <v>1531.14481718156</v>
      </c>
    </row>
    <row r="122" customFormat="false" ht="15" hidden="false" customHeight="false" outlineLevel="0" collapsed="false">
      <c r="A122" s="17" t="n">
        <v>468</v>
      </c>
      <c r="B122" s="5" t="s">
        <v>128</v>
      </c>
      <c r="C122" s="11" t="n">
        <f aca="false">Otto!$C$24+Otto!$C$23/2*((1-COS(RADIANS(A122)))+1/Otto!$C$26*(1-SQRT(1-Otto!$C$26^2*SIN(RADIANS(A122))^2)))</f>
        <v>270.503566116846</v>
      </c>
      <c r="D122" s="11" t="n">
        <f aca="false">Otto!$B$34*(Otto!$F$34/C122)^Otto!$C$10</f>
        <v>532.74846946038</v>
      </c>
      <c r="E122" s="11" t="n">
        <f aca="false">D122*C122*0.000001/(Otto!$C$28*Otto!$C$13)</f>
        <v>1508.18281183004</v>
      </c>
    </row>
    <row r="123" customFormat="false" ht="15" hidden="false" customHeight="false" outlineLevel="0" collapsed="false">
      <c r="A123" s="17" t="n">
        <v>472</v>
      </c>
      <c r="B123" s="5" t="s">
        <v>128</v>
      </c>
      <c r="C123" s="11" t="n">
        <f aca="false">Otto!$C$24+Otto!$C$23/2*((1-COS(RADIANS(A123)))+1/Otto!$C$26*(1-SQRT(1-Otto!$C$26^2*SIN(RADIANS(A123))^2)))</f>
        <v>280.121166933583</v>
      </c>
      <c r="D123" s="11" t="n">
        <f aca="false">Otto!$B$34*(Otto!$F$34/C123)^Otto!$C$10</f>
        <v>507.317806398371</v>
      </c>
      <c r="E123" s="11" t="n">
        <f aca="false">D123*C123*0.000001/(Otto!$C$28*Otto!$C$13)</f>
        <v>1487.2528649839</v>
      </c>
    </row>
    <row r="124" customFormat="false" ht="15" hidden="false" customHeight="false" outlineLevel="0" collapsed="false">
      <c r="A124" s="17" t="n">
        <v>476</v>
      </c>
      <c r="B124" s="5" t="s">
        <v>128</v>
      </c>
      <c r="C124" s="11" t="n">
        <f aca="false">Otto!$C$24+Otto!$C$23/2*((1-COS(RADIANS(A124)))+1/Otto!$C$26*(1-SQRT(1-Otto!$C$26^2*SIN(RADIANS(A124))^2)))</f>
        <v>289.296443959421</v>
      </c>
      <c r="D124" s="11" t="n">
        <f aca="false">Otto!$B$34*(Otto!$F$34/C124)^Otto!$C$10</f>
        <v>484.935602760542</v>
      </c>
      <c r="E124" s="11" t="n">
        <f aca="false">D124*C124*0.000001/(Otto!$C$28*Otto!$C$13)</f>
        <v>1468.20245804354</v>
      </c>
    </row>
    <row r="125" customFormat="false" ht="15" hidden="false" customHeight="false" outlineLevel="0" collapsed="false">
      <c r="A125" s="17" t="n">
        <v>480</v>
      </c>
      <c r="B125" s="5" t="s">
        <v>128</v>
      </c>
      <c r="C125" s="11" t="n">
        <f aca="false">Otto!$C$24+Otto!$C$23/2*((1-COS(RADIANS(A125)))+1/Otto!$C$26*(1-SQRT(1-Otto!$C$26^2*SIN(RADIANS(A125))^2)))</f>
        <v>298.001606934076</v>
      </c>
      <c r="D125" s="11" t="n">
        <f aca="false">Otto!$B$34*(Otto!$F$34/C125)^Otto!$C$10</f>
        <v>465.219976703344</v>
      </c>
      <c r="E125" s="11" t="n">
        <f aca="false">D125*C125*0.000001/(Otto!$C$28*Otto!$C$13)</f>
        <v>1450.89419321721</v>
      </c>
    </row>
    <row r="126" customFormat="false" ht="15" hidden="false" customHeight="false" outlineLevel="0" collapsed="false">
      <c r="A126" s="17" t="n">
        <v>484</v>
      </c>
      <c r="B126" s="5" t="s">
        <v>128</v>
      </c>
      <c r="C126" s="11" t="n">
        <f aca="false">Otto!$C$24+Otto!$C$23/2*((1-COS(RADIANS(A126)))+1/Otto!$C$26*(1-SQRT(1-Otto!$C$26^2*SIN(RADIANS(A126))^2)))</f>
        <v>306.212930952726</v>
      </c>
      <c r="D126" s="11" t="n">
        <f aca="false">Otto!$B$34*(Otto!$F$34/C126)^Otto!$C$10</f>
        <v>447.848853318162</v>
      </c>
      <c r="E126" s="11" t="n">
        <f aca="false">D126*C126*0.000001/(Otto!$C$28*Otto!$C$13)</f>
        <v>1435.20445698029</v>
      </c>
    </row>
    <row r="127" customFormat="false" ht="15" hidden="false" customHeight="false" outlineLevel="0" collapsed="false">
      <c r="A127" s="17" t="n">
        <v>488</v>
      </c>
      <c r="B127" s="5" t="s">
        <v>128</v>
      </c>
      <c r="C127" s="11" t="n">
        <f aca="false">Otto!$C$24+Otto!$C$23/2*((1-COS(RADIANS(A127)))+1/Otto!$C$26*(1-SQRT(1-Otto!$C$26^2*SIN(RADIANS(A127))^2)))</f>
        <v>313.910458338623</v>
      </c>
      <c r="D127" s="11" t="n">
        <f aca="false">Otto!$B$34*(Otto!$F$34/C127)^Otto!$C$10</f>
        <v>432.549988200232</v>
      </c>
      <c r="E127" s="11" t="n">
        <f aca="false">D127*C127*0.000001/(Otto!$C$28*Otto!$C$13)</f>
        <v>1421.02222673386</v>
      </c>
    </row>
    <row r="128" customFormat="false" ht="15" hidden="false" customHeight="false" outlineLevel="0" collapsed="false">
      <c r="A128" s="17" t="n">
        <v>492</v>
      </c>
      <c r="B128" s="5" t="s">
        <v>128</v>
      </c>
      <c r="C128" s="11" t="n">
        <f aca="false">Otto!$C$24+Otto!$C$23/2*((1-COS(RADIANS(A128)))+1/Otto!$C$26*(1-SQRT(1-Otto!$C$26^2*SIN(RADIANS(A128))^2)))</f>
        <v>321.077664851563</v>
      </c>
      <c r="D128" s="11" t="n">
        <f aca="false">Otto!$B$34*(Otto!$F$34/C128)^Otto!$C$10</f>
        <v>419.092867311792</v>
      </c>
      <c r="E128" s="11" t="n">
        <f aca="false">D128*C128*0.000001/(Otto!$C$28*Otto!$C$13)</f>
        <v>1408.24801144325</v>
      </c>
    </row>
    <row r="129" customFormat="false" ht="15" hidden="false" customHeight="false" outlineLevel="0" collapsed="false">
      <c r="A129" s="17" t="n">
        <v>496</v>
      </c>
      <c r="B129" s="5" t="s">
        <v>128</v>
      </c>
      <c r="C129" s="11" t="n">
        <f aca="false">Otto!$C$24+Otto!$C$23/2*((1-COS(RADIANS(A129)))+1/Otto!$C$26*(1-SQRT(1-Otto!$C$26^2*SIN(RADIANS(A129))^2)))</f>
        <v>327.701103283584</v>
      </c>
      <c r="D129" s="11" t="n">
        <f aca="false">Otto!$B$34*(Otto!$F$34/C129)^Otto!$C$10</f>
        <v>407.2821143287</v>
      </c>
      <c r="E129" s="11" t="n">
        <f aca="false">D129*C129*0.000001/(Otto!$C$28*Otto!$C$13)</f>
        <v>1396.7929151834</v>
      </c>
    </row>
    <row r="130" customFormat="false" ht="15" hidden="false" customHeight="false" outlineLevel="0" collapsed="false">
      <c r="A130" s="17" t="n">
        <v>500</v>
      </c>
      <c r="B130" s="5" t="s">
        <v>128</v>
      </c>
      <c r="C130" s="11" t="n">
        <f aca="false">Otto!$C$24+Otto!$C$23/2*((1-COS(RADIANS(A130)))+1/Otto!$C$26*(1-SQRT(1-Otto!$C$26^2*SIN(RADIANS(A130))^2)))</f>
        <v>333.77003662254</v>
      </c>
      <c r="D130" s="11" t="n">
        <f aca="false">Otto!$B$34*(Otto!$F$34/C130)^Otto!$C$10</f>
        <v>396.952113504288</v>
      </c>
      <c r="E130" s="11" t="n">
        <f aca="false">D130*C130*0.000001/(Otto!$C$28*Otto!$C$13)</f>
        <v>1386.5778121812</v>
      </c>
    </row>
    <row r="131" customFormat="false" ht="15" hidden="false" customHeight="false" outlineLevel="0" collapsed="false">
      <c r="A131" s="17" t="n">
        <v>504</v>
      </c>
      <c r="B131" s="5" t="s">
        <v>128</v>
      </c>
      <c r="C131" s="11" t="n">
        <f aca="false">Otto!$C$24+Otto!$C$23/2*((1-COS(RADIANS(A131)))+1/Otto!$C$26*(1-SQRT(1-Otto!$C$26^2*SIN(RADIANS(A131))^2)))</f>
        <v>339.276071733748</v>
      </c>
      <c r="D131" s="11" t="n">
        <f aca="false">Otto!$B$34*(Otto!$F$34/C131)^Otto!$C$10</f>
        <v>387.962616885441</v>
      </c>
      <c r="E131" s="11" t="n">
        <f aca="false">D131*C131*0.000001/(Otto!$C$28*Otto!$C$13)</f>
        <v>1377.53262248616</v>
      </c>
    </row>
    <row r="132" customFormat="false" ht="15" hidden="false" customHeight="false" outlineLevel="0" collapsed="false">
      <c r="A132" s="17" t="n">
        <v>508</v>
      </c>
      <c r="B132" s="5" t="s">
        <v>128</v>
      </c>
      <c r="C132" s="11" t="n">
        <f aca="false">Otto!$C$24+Otto!$C$23/2*((1-COS(RADIANS(A132)))+1/Otto!$C$26*(1-SQRT(1-Otto!$C$26^2*SIN(RADIANS(A132))^2)))</f>
        <v>344.212803057148</v>
      </c>
      <c r="D132" s="11" t="n">
        <f aca="false">Otto!$B$34*(Otto!$F$34/C132)^Otto!$C$10</f>
        <v>380.195152778948</v>
      </c>
      <c r="E132" s="11" t="n">
        <f aca="false">D132*C132*0.000001/(Otto!$C$28*Otto!$C$13)</f>
        <v>1369.59567840888</v>
      </c>
    </row>
    <row r="133" customFormat="false" ht="15" hidden="false" customHeight="false" outlineLevel="0" collapsed="false">
      <c r="A133" s="17" t="n">
        <v>512</v>
      </c>
      <c r="B133" s="5" t="s">
        <v>128</v>
      </c>
      <c r="C133" s="11" t="n">
        <f aca="false">Otto!$C$24+Otto!$C$23/2*((1-COS(RADIANS(A133)))+1/Otto!$C$26*(1-SQRT(1-Otto!$C$26^2*SIN(RADIANS(A133))^2)))</f>
        <v>348.575474271152</v>
      </c>
      <c r="D133" s="11" t="n">
        <f aca="false">Otto!$B$34*(Otto!$F$34/C133)^Otto!$C$10</f>
        <v>373.550090389021</v>
      </c>
      <c r="E133" s="11" t="n">
        <f aca="false">D133*C133*0.000001/(Otto!$C$28*Otto!$C$13)</f>
        <v>1362.71317307602</v>
      </c>
    </row>
    <row r="134" customFormat="false" ht="15" hidden="false" customHeight="false" outlineLevel="0" collapsed="false">
      <c r="A134" s="17" t="n">
        <v>516</v>
      </c>
      <c r="B134" s="5" t="s">
        <v>128</v>
      </c>
      <c r="C134" s="11" t="n">
        <f aca="false">Otto!$C$24+Otto!$C$23/2*((1-COS(RADIANS(A134)))+1/Otto!$C$26*(1-SQRT(1-Otto!$C$26^2*SIN(RADIANS(A134))^2)))</f>
        <v>352.360664344651</v>
      </c>
      <c r="D134" s="11" t="n">
        <f aca="false">Otto!$B$34*(Otto!$F$34/C134)^Otto!$C$10</f>
        <v>367.944245696436</v>
      </c>
      <c r="E134" s="11" t="n">
        <f aca="false">D134*C134*0.000001/(Otto!$C$28*Otto!$C$13)</f>
        <v>1356.83868370021</v>
      </c>
    </row>
    <row r="135" customFormat="false" ht="15" hidden="false" customHeight="false" outlineLevel="0" collapsed="false">
      <c r="A135" s="17" t="n">
        <v>520</v>
      </c>
      <c r="B135" s="5" t="s">
        <v>128</v>
      </c>
      <c r="C135" s="11" t="n">
        <f aca="false">Otto!$C$24+Otto!$C$23/2*((1-COS(RADIANS(A135)))+1/Otto!$C$26*(1-SQRT(1-Otto!$C$26^2*SIN(RADIANS(A135))^2)))</f>
        <v>355.566002971957</v>
      </c>
      <c r="D135" s="11" t="n">
        <f aca="false">Otto!$B$34*(Otto!$F$34/C135)^Otto!$C$10</f>
        <v>363.308937649578</v>
      </c>
      <c r="E135" s="11" t="n">
        <f aca="false">D135*C135*0.000001/(Otto!$C$28*Otto!$C$13)</f>
        <v>1351.93276335962</v>
      </c>
    </row>
    <row r="136" customFormat="false" ht="15" hidden="false" customHeight="false" outlineLevel="0" collapsed="false">
      <c r="A136" s="17" t="n">
        <v>524</v>
      </c>
      <c r="B136" s="5" t="s">
        <v>128</v>
      </c>
      <c r="C136" s="11" t="n">
        <f aca="false">Otto!$C$24+Otto!$C$23/2*((1-COS(RADIANS(A136)))+1/Otto!$C$26*(1-SQRT(1-Otto!$C$26^2*SIN(RADIANS(A136))^2)))</f>
        <v>358.189919121842</v>
      </c>
      <c r="D136" s="11" t="n">
        <f aca="false">Otto!$B$34*(Otto!$F$34/C136)^Otto!$C$10</f>
        <v>359.58842295207</v>
      </c>
      <c r="E136" s="11" t="n">
        <f aca="false">D136*C136*0.000001/(Otto!$C$28*Otto!$C$13)</f>
        <v>1347.96259617769</v>
      </c>
    </row>
    <row r="137" customFormat="false" ht="15" hidden="false" customHeight="false" outlineLevel="0" collapsed="false">
      <c r="A137" s="17" t="n">
        <v>528</v>
      </c>
      <c r="B137" s="5" t="s">
        <v>128</v>
      </c>
      <c r="C137" s="11" t="n">
        <f aca="false">Otto!$C$24+Otto!$C$23/2*((1-COS(RADIANS(A137)))+1/Otto!$C$26*(1-SQRT(1-Otto!$C$26^2*SIN(RADIANS(A137))^2)))</f>
        <v>360.231425366516</v>
      </c>
      <c r="D137" s="11" t="n">
        <f aca="false">Otto!$B$34*(Otto!$F$34/C137)^Otto!$C$10</f>
        <v>356.738653239124</v>
      </c>
      <c r="E137" s="11" t="n">
        <f aca="false">D137*C137*0.000001/(Otto!$C$28*Otto!$C$13)</f>
        <v>1344.90171176893</v>
      </c>
    </row>
    <row r="138" customFormat="false" ht="15" hidden="false" customHeight="false" outlineLevel="0" collapsed="false">
      <c r="A138" s="17" t="n">
        <v>532</v>
      </c>
      <c r="B138" s="5" t="s">
        <v>128</v>
      </c>
      <c r="C138" s="11" t="n">
        <f aca="false">Otto!$C$24+Otto!$C$23/2*((1-COS(RADIANS(A138)))+1/Otto!$C$26*(1-SQRT(1-Otto!$C$26^2*SIN(RADIANS(A138))^2)))</f>
        <v>361.68993980185</v>
      </c>
      <c r="D138" s="11" t="n">
        <f aca="false">Otto!$B$34*(Otto!$F$34/C138)^Otto!$C$10</f>
        <v>354.726311089998</v>
      </c>
      <c r="E138" s="11" t="n">
        <f aca="false">D138*C138*0.000001/(Otto!$C$28*Otto!$C$13)</f>
        <v>1342.72975567439</v>
      </c>
    </row>
    <row r="139" customFormat="false" ht="15" hidden="false" customHeight="false" outlineLevel="0" collapsed="false">
      <c r="A139" s="17" t="n">
        <v>536</v>
      </c>
      <c r="B139" s="5" t="s">
        <v>128</v>
      </c>
      <c r="C139" s="11" t="n">
        <f aca="false">Otto!$C$24+Otto!$C$23/2*((1-COS(RADIANS(A139)))+1/Otto!$C$26*(1-SQRT(1-Otto!$C$26^2*SIN(RADIANS(A139))^2)))</f>
        <v>362.565146720362</v>
      </c>
      <c r="D139" s="11" t="n">
        <f aca="false">Otto!$B$34*(Otto!$F$34/C139)^Otto!$C$10</f>
        <v>353.528091808556</v>
      </c>
      <c r="E139" s="11" t="n">
        <f aca="false">D139*C139*0.000001/(Otto!$C$28*Otto!$C$13)</f>
        <v>1341.43231325809</v>
      </c>
    </row>
    <row r="140" customFormat="false" ht="15" hidden="false" customHeight="false" outlineLevel="0" collapsed="false">
      <c r="A140" s="17" t="n">
        <v>540</v>
      </c>
      <c r="B140" s="5" t="s">
        <v>128</v>
      </c>
      <c r="C140" s="11" t="n">
        <f aca="false">Otto!$C$24+Otto!$C$23/2*((1-COS(RADIANS(A140)))+1/Otto!$C$26*(1-SQRT(1-Otto!$C$26^2*SIN(RADIANS(A140))^2)))</f>
        <v>362.856896732734</v>
      </c>
      <c r="D140" s="11" t="n">
        <f aca="false">Otto!$B$34*(Otto!$F$34/C140)^Otto!$C$10</f>
        <v>353.13020676776</v>
      </c>
      <c r="E140" s="11" t="n">
        <f aca="false">D140*C140*0.000001/(Otto!$C$28*Otto!$C$13)</f>
        <v>1341.00078519403</v>
      </c>
    </row>
    <row r="141" customFormat="false" ht="15" hidden="false" customHeight="false" outlineLevel="0" collapsed="false">
      <c r="A141" s="17" t="n">
        <v>544</v>
      </c>
      <c r="B141" s="5" t="s">
        <v>129</v>
      </c>
      <c r="C141" s="11" t="n">
        <f aca="false">Otto!$C$24+Otto!$C$23/2*((1-COS(RADIANS(A141)))+1/Otto!$C$26*(1-SQRT(1-Otto!$C$26^2*SIN(RADIANS(A141))^2)))</f>
        <v>362.565146720362</v>
      </c>
      <c r="D141" s="11" t="n">
        <f aca="false">Otto!$C$6</f>
        <v>79</v>
      </c>
      <c r="E141" s="11" t="n">
        <f aca="false">Otto!$C$7</f>
        <v>300</v>
      </c>
    </row>
    <row r="142" customFormat="false" ht="15" hidden="false" customHeight="false" outlineLevel="0" collapsed="false">
      <c r="A142" s="17" t="n">
        <v>548</v>
      </c>
      <c r="B142" s="5" t="s">
        <v>129</v>
      </c>
      <c r="C142" s="11" t="n">
        <f aca="false">Otto!$C$24+Otto!$C$23/2*((1-COS(RADIANS(A142)))+1/Otto!$C$26*(1-SQRT(1-Otto!$C$26^2*SIN(RADIANS(A142))^2)))</f>
        <v>361.68993980185</v>
      </c>
      <c r="D142" s="11" t="n">
        <f aca="false">Otto!$C$6</f>
        <v>79</v>
      </c>
      <c r="E142" s="11" t="n">
        <f aca="false">Otto!$C$7</f>
        <v>300</v>
      </c>
    </row>
    <row r="143" customFormat="false" ht="15" hidden="false" customHeight="false" outlineLevel="0" collapsed="false">
      <c r="A143" s="17" t="n">
        <v>552</v>
      </c>
      <c r="B143" s="5" t="s">
        <v>129</v>
      </c>
      <c r="C143" s="11" t="n">
        <f aca="false">Otto!$C$24+Otto!$C$23/2*((1-COS(RADIANS(A143)))+1/Otto!$C$26*(1-SQRT(1-Otto!$C$26^2*SIN(RADIANS(A143))^2)))</f>
        <v>360.231425366516</v>
      </c>
      <c r="D143" s="11" t="n">
        <f aca="false">Otto!$C$6</f>
        <v>79</v>
      </c>
      <c r="E143" s="11" t="n">
        <f aca="false">Otto!$C$7</f>
        <v>300</v>
      </c>
    </row>
    <row r="144" customFormat="false" ht="15" hidden="false" customHeight="false" outlineLevel="0" collapsed="false">
      <c r="A144" s="17" t="n">
        <v>556</v>
      </c>
      <c r="B144" s="5" t="s">
        <v>129</v>
      </c>
      <c r="C144" s="11" t="n">
        <f aca="false">Otto!$C$24+Otto!$C$23/2*((1-COS(RADIANS(A144)))+1/Otto!$C$26*(1-SQRT(1-Otto!$C$26^2*SIN(RADIANS(A144))^2)))</f>
        <v>358.189919121843</v>
      </c>
      <c r="D144" s="11" t="n">
        <f aca="false">Otto!$C$6</f>
        <v>79</v>
      </c>
      <c r="E144" s="11" t="n">
        <f aca="false">Otto!$C$7</f>
        <v>300</v>
      </c>
    </row>
    <row r="145" customFormat="false" ht="15" hidden="false" customHeight="false" outlineLevel="0" collapsed="false">
      <c r="A145" s="17" t="n">
        <v>560</v>
      </c>
      <c r="B145" s="5" t="s">
        <v>129</v>
      </c>
      <c r="C145" s="11" t="n">
        <f aca="false">Otto!$C$24+Otto!$C$23/2*((1-COS(RADIANS(A145)))+1/Otto!$C$26*(1-SQRT(1-Otto!$C$26^2*SIN(RADIANS(A145))^2)))</f>
        <v>355.566002971957</v>
      </c>
      <c r="D145" s="11" t="n">
        <f aca="false">Otto!$C$6</f>
        <v>79</v>
      </c>
      <c r="E145" s="11" t="n">
        <f aca="false">Otto!$C$7</f>
        <v>300</v>
      </c>
    </row>
    <row r="146" customFormat="false" ht="15" hidden="false" customHeight="false" outlineLevel="0" collapsed="false">
      <c r="A146" s="17" t="n">
        <v>564</v>
      </c>
      <c r="B146" s="5" t="s">
        <v>129</v>
      </c>
      <c r="C146" s="11" t="n">
        <f aca="false">Otto!$C$24+Otto!$C$23/2*((1-COS(RADIANS(A146)))+1/Otto!$C$26*(1-SQRT(1-Otto!$C$26^2*SIN(RADIANS(A146))^2)))</f>
        <v>352.360664344651</v>
      </c>
      <c r="D146" s="11" t="n">
        <f aca="false">Otto!$C$6</f>
        <v>79</v>
      </c>
      <c r="E146" s="11" t="n">
        <f aca="false">Otto!$C$7</f>
        <v>300</v>
      </c>
    </row>
    <row r="147" customFormat="false" ht="15" hidden="false" customHeight="false" outlineLevel="0" collapsed="false">
      <c r="A147" s="17" t="n">
        <v>568</v>
      </c>
      <c r="B147" s="5" t="s">
        <v>129</v>
      </c>
      <c r="C147" s="11" t="n">
        <f aca="false">Otto!$C$24+Otto!$C$23/2*((1-COS(RADIANS(A147)))+1/Otto!$C$26*(1-SQRT(1-Otto!$C$26^2*SIN(RADIANS(A147))^2)))</f>
        <v>348.575474271152</v>
      </c>
      <c r="D147" s="11" t="n">
        <f aca="false">Otto!$C$6</f>
        <v>79</v>
      </c>
      <c r="E147" s="11" t="n">
        <f aca="false">Otto!$C$7</f>
        <v>300</v>
      </c>
    </row>
    <row r="148" customFormat="false" ht="15" hidden="false" customHeight="false" outlineLevel="0" collapsed="false">
      <c r="A148" s="17" t="n">
        <v>572</v>
      </c>
      <c r="B148" s="5" t="s">
        <v>129</v>
      </c>
      <c r="C148" s="11" t="n">
        <f aca="false">Otto!$C$24+Otto!$C$23/2*((1-COS(RADIANS(A148)))+1/Otto!$C$26*(1-SQRT(1-Otto!$C$26^2*SIN(RADIANS(A148))^2)))</f>
        <v>344.212803057148</v>
      </c>
      <c r="D148" s="11" t="n">
        <f aca="false">Otto!$C$6</f>
        <v>79</v>
      </c>
      <c r="E148" s="11" t="n">
        <f aca="false">Otto!$C$7</f>
        <v>300</v>
      </c>
    </row>
    <row r="149" customFormat="false" ht="15" hidden="false" customHeight="false" outlineLevel="0" collapsed="false">
      <c r="A149" s="17" t="n">
        <v>576</v>
      </c>
      <c r="B149" s="5" t="s">
        <v>129</v>
      </c>
      <c r="C149" s="11" t="n">
        <f aca="false">Otto!$C$24+Otto!$C$23/2*((1-COS(RADIANS(A149)))+1/Otto!$C$26*(1-SQRT(1-Otto!$C$26^2*SIN(RADIANS(A149))^2)))</f>
        <v>339.276071733748</v>
      </c>
      <c r="D149" s="11" t="n">
        <f aca="false">Otto!$C$6</f>
        <v>79</v>
      </c>
      <c r="E149" s="11" t="n">
        <f aca="false">Otto!$C$7</f>
        <v>300</v>
      </c>
    </row>
    <row r="150" customFormat="false" ht="15" hidden="false" customHeight="false" outlineLevel="0" collapsed="false">
      <c r="A150" s="17" t="n">
        <v>580</v>
      </c>
      <c r="B150" s="5" t="s">
        <v>129</v>
      </c>
      <c r="C150" s="11" t="n">
        <f aca="false">Otto!$C$24+Otto!$C$23/2*((1-COS(RADIANS(A150)))+1/Otto!$C$26*(1-SQRT(1-Otto!$C$26^2*SIN(RADIANS(A150))^2)))</f>
        <v>333.77003662254</v>
      </c>
      <c r="D150" s="11" t="n">
        <f aca="false">Otto!$C$6</f>
        <v>79</v>
      </c>
      <c r="E150" s="11" t="n">
        <f aca="false">Otto!$C$7</f>
        <v>300</v>
      </c>
    </row>
    <row r="151" customFormat="false" ht="15" hidden="false" customHeight="false" outlineLevel="0" collapsed="false">
      <c r="A151" s="17" t="n">
        <v>584</v>
      </c>
      <c r="B151" s="5" t="s">
        <v>129</v>
      </c>
      <c r="C151" s="11" t="n">
        <f aca="false">Otto!$C$24+Otto!$C$23/2*((1-COS(RADIANS(A151)))+1/Otto!$C$26*(1-SQRT(1-Otto!$C$26^2*SIN(RADIANS(A151))^2)))</f>
        <v>327.701103283584</v>
      </c>
      <c r="D151" s="11" t="n">
        <f aca="false">Otto!$C$6</f>
        <v>79</v>
      </c>
      <c r="E151" s="11" t="n">
        <f aca="false">Otto!$C$7</f>
        <v>300</v>
      </c>
    </row>
    <row r="152" customFormat="false" ht="15" hidden="false" customHeight="false" outlineLevel="0" collapsed="false">
      <c r="A152" s="17" t="n">
        <v>588</v>
      </c>
      <c r="B152" s="5" t="s">
        <v>129</v>
      </c>
      <c r="C152" s="11" t="n">
        <f aca="false">Otto!$C$24+Otto!$C$23/2*((1-COS(RADIANS(A152)))+1/Otto!$C$26*(1-SQRT(1-Otto!$C$26^2*SIN(RADIANS(A152))^2)))</f>
        <v>321.077664851563</v>
      </c>
      <c r="D152" s="11" t="n">
        <f aca="false">Otto!$C$6</f>
        <v>79</v>
      </c>
      <c r="E152" s="11" t="n">
        <f aca="false">Otto!$C$7</f>
        <v>300</v>
      </c>
    </row>
    <row r="153" customFormat="false" ht="15" hidden="false" customHeight="false" outlineLevel="0" collapsed="false">
      <c r="A153" s="17" t="n">
        <v>592</v>
      </c>
      <c r="B153" s="5" t="s">
        <v>129</v>
      </c>
      <c r="C153" s="11" t="n">
        <f aca="false">Otto!$C$24+Otto!$C$23/2*((1-COS(RADIANS(A153)))+1/Otto!$C$26*(1-SQRT(1-Otto!$C$26^2*SIN(RADIANS(A153))^2)))</f>
        <v>313.910458338623</v>
      </c>
      <c r="D153" s="11" t="n">
        <f aca="false">Otto!$C$6</f>
        <v>79</v>
      </c>
      <c r="E153" s="11" t="n">
        <f aca="false">Otto!$C$7</f>
        <v>300</v>
      </c>
    </row>
    <row r="154" customFormat="false" ht="15" hidden="false" customHeight="false" outlineLevel="0" collapsed="false">
      <c r="A154" s="17" t="n">
        <v>596</v>
      </c>
      <c r="B154" s="5" t="s">
        <v>129</v>
      </c>
      <c r="C154" s="11" t="n">
        <f aca="false">Otto!$C$24+Otto!$C$23/2*((1-COS(RADIANS(A154)))+1/Otto!$C$26*(1-SQRT(1-Otto!$C$26^2*SIN(RADIANS(A154))^2)))</f>
        <v>306.212930952726</v>
      </c>
      <c r="D154" s="11" t="n">
        <f aca="false">Otto!$C$6</f>
        <v>79</v>
      </c>
      <c r="E154" s="11" t="n">
        <f aca="false">Otto!$C$7</f>
        <v>300</v>
      </c>
    </row>
    <row r="155" customFormat="false" ht="15" hidden="false" customHeight="false" outlineLevel="0" collapsed="false">
      <c r="A155" s="17" t="n">
        <v>600</v>
      </c>
      <c r="B155" s="5" t="s">
        <v>129</v>
      </c>
      <c r="C155" s="11" t="n">
        <f aca="false">Otto!$C$24+Otto!$C$23/2*((1-COS(RADIANS(A155)))+1/Otto!$C$26*(1-SQRT(1-Otto!$C$26^2*SIN(RADIANS(A155))^2)))</f>
        <v>298.001606934076</v>
      </c>
      <c r="D155" s="11" t="n">
        <f aca="false">Otto!$C$6</f>
        <v>79</v>
      </c>
      <c r="E155" s="11" t="n">
        <f aca="false">Otto!$C$7</f>
        <v>300</v>
      </c>
    </row>
    <row r="156" customFormat="false" ht="15" hidden="false" customHeight="false" outlineLevel="0" collapsed="false">
      <c r="A156" s="17" t="n">
        <v>604</v>
      </c>
      <c r="B156" s="5" t="s">
        <v>129</v>
      </c>
      <c r="C156" s="11" t="n">
        <f aca="false">Otto!$C$24+Otto!$C$23/2*((1-COS(RADIANS(A156)))+1/Otto!$C$26*(1-SQRT(1-Otto!$C$26^2*SIN(RADIANS(A156))^2)))</f>
        <v>289.296443959421</v>
      </c>
      <c r="D156" s="11" t="n">
        <f aca="false">Otto!$C$6</f>
        <v>79</v>
      </c>
      <c r="E156" s="11" t="n">
        <f aca="false">Otto!$C$7</f>
        <v>300</v>
      </c>
    </row>
    <row r="157" customFormat="false" ht="15" hidden="false" customHeight="false" outlineLevel="0" collapsed="false">
      <c r="A157" s="17" t="n">
        <v>608</v>
      </c>
      <c r="B157" s="5" t="s">
        <v>129</v>
      </c>
      <c r="C157" s="11" t="n">
        <f aca="false">Otto!$C$24+Otto!$C$23/2*((1-COS(RADIANS(A157)))+1/Otto!$C$26*(1-SQRT(1-Otto!$C$26^2*SIN(RADIANS(A157))^2)))</f>
        <v>280.121166933583</v>
      </c>
      <c r="D157" s="11" t="n">
        <f aca="false">Otto!$C$6</f>
        <v>79</v>
      </c>
      <c r="E157" s="11" t="n">
        <f aca="false">Otto!$C$7</f>
        <v>300</v>
      </c>
    </row>
    <row r="158" customFormat="false" ht="15" hidden="false" customHeight="false" outlineLevel="0" collapsed="false">
      <c r="A158" s="17" t="n">
        <v>612</v>
      </c>
      <c r="B158" s="5" t="s">
        <v>129</v>
      </c>
      <c r="C158" s="11" t="n">
        <f aca="false">Otto!$C$24+Otto!$C$23/2*((1-COS(RADIANS(A158)))+1/Otto!$C$26*(1-SQRT(1-Otto!$C$26^2*SIN(RADIANS(A158))^2)))</f>
        <v>270.503566116846</v>
      </c>
      <c r="D158" s="11" t="n">
        <f aca="false">Otto!$C$6</f>
        <v>79</v>
      </c>
      <c r="E158" s="11" t="n">
        <f aca="false">Otto!$C$7</f>
        <v>300</v>
      </c>
    </row>
    <row r="159" customFormat="false" ht="15" hidden="false" customHeight="false" outlineLevel="0" collapsed="false">
      <c r="A159" s="17" t="n">
        <v>616</v>
      </c>
      <c r="B159" s="5" t="s">
        <v>129</v>
      </c>
      <c r="C159" s="11" t="n">
        <f aca="false">Otto!$C$24+Otto!$C$23/2*((1-COS(RADIANS(A159)))+1/Otto!$C$26*(1-SQRT(1-Otto!$C$26^2*SIN(RADIANS(A159))^2)))</f>
        <v>260.475746159055</v>
      </c>
      <c r="D159" s="11" t="n">
        <f aca="false">Otto!$C$6</f>
        <v>79</v>
      </c>
      <c r="E159" s="11" t="n">
        <f aca="false">Otto!$C$7</f>
        <v>300</v>
      </c>
    </row>
    <row r="160" customFormat="false" ht="15" hidden="false" customHeight="false" outlineLevel="0" collapsed="false">
      <c r="A160" s="17" t="n">
        <v>620</v>
      </c>
      <c r="B160" s="5" t="s">
        <v>129</v>
      </c>
      <c r="C160" s="11" t="n">
        <f aca="false">Otto!$C$24+Otto!$C$23/2*((1-COS(RADIANS(A160)))+1/Otto!$C$26*(1-SQRT(1-Otto!$C$26^2*SIN(RADIANS(A160))^2)))</f>
        <v>250.074312839777</v>
      </c>
      <c r="D160" s="11" t="n">
        <f aca="false">Otto!$C$6</f>
        <v>79</v>
      </c>
      <c r="E160" s="11" t="n">
        <f aca="false">Otto!$C$7</f>
        <v>300</v>
      </c>
    </row>
    <row r="161" customFormat="false" ht="15" hidden="false" customHeight="false" outlineLevel="0" collapsed="false">
      <c r="A161" s="17" t="n">
        <v>624</v>
      </c>
      <c r="B161" s="5" t="s">
        <v>129</v>
      </c>
      <c r="C161" s="11" t="n">
        <f aca="false">Otto!$C$24+Otto!$C$23/2*((1-COS(RADIANS(A161)))+1/Otto!$C$26*(1-SQRT(1-Otto!$C$26^2*SIN(RADIANS(A161))^2)))</f>
        <v>239.340485225457</v>
      </c>
      <c r="D161" s="11" t="n">
        <f aca="false">Otto!$C$6</f>
        <v>79</v>
      </c>
      <c r="E161" s="11" t="n">
        <f aca="false">Otto!$C$7</f>
        <v>300</v>
      </c>
    </row>
    <row r="162" customFormat="false" ht="15" hidden="false" customHeight="false" outlineLevel="0" collapsed="false">
      <c r="A162" s="17" t="n">
        <v>628</v>
      </c>
      <c r="B162" s="5" t="s">
        <v>129</v>
      </c>
      <c r="C162" s="11" t="n">
        <f aca="false">Otto!$C$24+Otto!$C$23/2*((1-COS(RADIANS(A162)))+1/Otto!$C$26*(1-SQRT(1-Otto!$C$26^2*SIN(RADIANS(A162))^2)))</f>
        <v>228.320122575324</v>
      </c>
      <c r="D162" s="11" t="n">
        <f aca="false">Otto!$C$6</f>
        <v>79</v>
      </c>
      <c r="E162" s="11" t="n">
        <f aca="false">Otto!$C$7</f>
        <v>300</v>
      </c>
    </row>
    <row r="163" customFormat="false" ht="15" hidden="false" customHeight="false" outlineLevel="0" collapsed="false">
      <c r="A163" s="17" t="n">
        <v>632</v>
      </c>
      <c r="B163" s="5" t="s">
        <v>129</v>
      </c>
      <c r="C163" s="11" t="n">
        <f aca="false">Otto!$C$24+Otto!$C$23/2*((1-COS(RADIANS(A163)))+1/Otto!$C$26*(1-SQRT(1-Otto!$C$26^2*SIN(RADIANS(A163))^2)))</f>
        <v>217.063657623321</v>
      </c>
      <c r="D163" s="11" t="n">
        <f aca="false">Otto!$C$6</f>
        <v>79</v>
      </c>
      <c r="E163" s="11" t="n">
        <f aca="false">Otto!$C$7</f>
        <v>300</v>
      </c>
    </row>
    <row r="164" customFormat="false" ht="15" hidden="false" customHeight="false" outlineLevel="0" collapsed="false">
      <c r="A164" s="17" t="n">
        <v>636</v>
      </c>
      <c r="B164" s="5" t="s">
        <v>129</v>
      </c>
      <c r="C164" s="11" t="n">
        <f aca="false">Otto!$C$24+Otto!$C$23/2*((1-COS(RADIANS(A164)))+1/Otto!$C$26*(1-SQRT(1-Otto!$C$26^2*SIN(RADIANS(A164))^2)))</f>
        <v>205.625930735197</v>
      </c>
      <c r="D164" s="11" t="n">
        <f aca="false">Otto!$C$6</f>
        <v>79</v>
      </c>
      <c r="E164" s="11" t="n">
        <f aca="false">Otto!$C$7</f>
        <v>300</v>
      </c>
    </row>
    <row r="165" customFormat="false" ht="15" hidden="false" customHeight="false" outlineLevel="0" collapsed="false">
      <c r="A165" s="17" t="n">
        <v>640</v>
      </c>
      <c r="B165" s="5" t="s">
        <v>129</v>
      </c>
      <c r="C165" s="11" t="n">
        <f aca="false">Otto!$C$24+Otto!$C$23/2*((1-COS(RADIANS(A165)))+1/Otto!$C$26*(1-SQRT(1-Otto!$C$26^2*SIN(RADIANS(A165))^2)))</f>
        <v>194.065922731762</v>
      </c>
      <c r="D165" s="11" t="n">
        <f aca="false">Otto!$C$6</f>
        <v>79</v>
      </c>
      <c r="E165" s="11" t="n">
        <f aca="false">Otto!$C$7</f>
        <v>300</v>
      </c>
    </row>
    <row r="166" customFormat="false" ht="15" hidden="false" customHeight="false" outlineLevel="0" collapsed="false">
      <c r="A166" s="17" t="n">
        <v>644</v>
      </c>
      <c r="B166" s="5" t="s">
        <v>129</v>
      </c>
      <c r="C166" s="11" t="n">
        <f aca="false">Otto!$C$24+Otto!$C$23/2*((1-COS(RADIANS(A166)))+1/Otto!$C$26*(1-SQRT(1-Otto!$C$26^2*SIN(RADIANS(A166))^2)))</f>
        <v>182.446387679947</v>
      </c>
      <c r="D166" s="11" t="n">
        <f aca="false">Otto!$C$6</f>
        <v>79</v>
      </c>
      <c r="E166" s="11" t="n">
        <f aca="false">Otto!$C$7</f>
        <v>300</v>
      </c>
    </row>
    <row r="167" customFormat="false" ht="15" hidden="false" customHeight="false" outlineLevel="0" collapsed="false">
      <c r="A167" s="17" t="n">
        <v>648</v>
      </c>
      <c r="B167" s="5" t="s">
        <v>129</v>
      </c>
      <c r="C167" s="11" t="n">
        <f aca="false">Otto!$C$24+Otto!$C$23/2*((1-COS(RADIANS(A167)))+1/Otto!$C$26*(1-SQRT(1-Otto!$C$26^2*SIN(RADIANS(A167))^2)))</f>
        <v>170.833390457673</v>
      </c>
      <c r="D167" s="11" t="n">
        <f aca="false">Otto!$C$6</f>
        <v>79</v>
      </c>
      <c r="E167" s="11" t="n">
        <f aca="false">Otto!$C$7</f>
        <v>300</v>
      </c>
    </row>
    <row r="168" customFormat="false" ht="15" hidden="false" customHeight="false" outlineLevel="0" collapsed="false">
      <c r="A168" s="17" t="n">
        <v>652</v>
      </c>
      <c r="B168" s="5" t="s">
        <v>129</v>
      </c>
      <c r="C168" s="11" t="n">
        <f aca="false">Otto!$C$24+Otto!$C$23/2*((1-COS(RADIANS(A168)))+1/Otto!$C$26*(1-SQRT(1-Otto!$C$26^2*SIN(RADIANS(A168))^2)))</f>
        <v>159.295757171345</v>
      </c>
      <c r="D168" s="11" t="n">
        <f aca="false">Otto!$C$6</f>
        <v>79</v>
      </c>
      <c r="E168" s="11" t="n">
        <f aca="false">Otto!$C$7</f>
        <v>300</v>
      </c>
    </row>
    <row r="169" customFormat="false" ht="15" hidden="false" customHeight="false" outlineLevel="0" collapsed="false">
      <c r="A169" s="17" t="n">
        <v>656</v>
      </c>
      <c r="B169" s="5" t="s">
        <v>129</v>
      </c>
      <c r="C169" s="11" t="n">
        <f aca="false">Otto!$C$24+Otto!$C$23/2*((1-COS(RADIANS(A169)))+1/Otto!$C$26*(1-SQRT(1-Otto!$C$26^2*SIN(RADIANS(A169))^2)))</f>
        <v>147.90444934515</v>
      </c>
      <c r="D169" s="11" t="n">
        <f aca="false">Otto!$C$6</f>
        <v>79</v>
      </c>
      <c r="E169" s="11" t="n">
        <f aca="false">Otto!$C$7</f>
        <v>300</v>
      </c>
    </row>
    <row r="170" customFormat="false" ht="15" hidden="false" customHeight="false" outlineLevel="0" collapsed="false">
      <c r="A170" s="17" t="n">
        <v>660</v>
      </c>
      <c r="B170" s="5" t="s">
        <v>129</v>
      </c>
      <c r="C170" s="11" t="n">
        <f aca="false">Otto!$C$24+Otto!$C$23/2*((1-COS(RADIANS(A170)))+1/Otto!$C$26*(1-SQRT(1-Otto!$C$26^2*SIN(RADIANS(A170))^2)))</f>
        <v>136.731875052861</v>
      </c>
      <c r="D170" s="11" t="n">
        <f aca="false">Otto!$C$6</f>
        <v>79</v>
      </c>
      <c r="E170" s="11" t="n">
        <f aca="false">Otto!$C$7</f>
        <v>300</v>
      </c>
    </row>
    <row r="171" customFormat="false" ht="15" hidden="false" customHeight="false" outlineLevel="0" collapsed="false">
      <c r="A171" s="17" t="n">
        <v>664</v>
      </c>
      <c r="B171" s="5" t="s">
        <v>129</v>
      </c>
      <c r="C171" s="11" t="n">
        <f aca="false">Otto!$C$24+Otto!$C$23/2*((1-COS(RADIANS(A171)))+1/Otto!$C$26*(1-SQRT(1-Otto!$C$26^2*SIN(RADIANS(A171))^2)))</f>
        <v>125.851151727515</v>
      </c>
      <c r="D171" s="11" t="n">
        <f aca="false">Otto!$C$6</f>
        <v>79</v>
      </c>
      <c r="E171" s="11" t="n">
        <f aca="false">Otto!$C$7</f>
        <v>300</v>
      </c>
    </row>
    <row r="172" customFormat="false" ht="15" hidden="false" customHeight="false" outlineLevel="0" collapsed="false">
      <c r="A172" s="17" t="n">
        <v>668</v>
      </c>
      <c r="B172" s="5" t="s">
        <v>129</v>
      </c>
      <c r="C172" s="11" t="n">
        <f aca="false">Otto!$C$24+Otto!$C$23/2*((1-COS(RADIANS(A172)))+1/Otto!$C$26*(1-SQRT(1-Otto!$C$26^2*SIN(RADIANS(A172))^2)))</f>
        <v>115.335336227898</v>
      </c>
      <c r="D172" s="11" t="n">
        <f aca="false">Otto!$C$6</f>
        <v>79</v>
      </c>
      <c r="E172" s="11" t="n">
        <f aca="false">Otto!$C$7</f>
        <v>300</v>
      </c>
    </row>
    <row r="173" customFormat="false" ht="15" hidden="false" customHeight="false" outlineLevel="0" collapsed="false">
      <c r="A173" s="17" t="n">
        <v>672</v>
      </c>
      <c r="B173" s="5" t="s">
        <v>129</v>
      </c>
      <c r="C173" s="11" t="n">
        <f aca="false">Otto!$C$24+Otto!$C$23/2*((1-COS(RADIANS(A173)))+1/Otto!$C$26*(1-SQRT(1-Otto!$C$26^2*SIN(RADIANS(A173))^2)))</f>
        <v>105.256637889547</v>
      </c>
      <c r="D173" s="11" t="n">
        <f aca="false">Otto!$C$6</f>
        <v>79</v>
      </c>
      <c r="E173" s="11" t="n">
        <f aca="false">Otto!$C$7</f>
        <v>300</v>
      </c>
    </row>
    <row r="174" customFormat="false" ht="15" hidden="false" customHeight="false" outlineLevel="0" collapsed="false">
      <c r="A174" s="17" t="n">
        <v>676</v>
      </c>
      <c r="B174" s="5" t="s">
        <v>129</v>
      </c>
      <c r="C174" s="11" t="n">
        <f aca="false">Otto!$C$24+Otto!$C$23/2*((1-COS(RADIANS(A174)))+1/Otto!$C$26*(1-SQRT(1-Otto!$C$26^2*SIN(RADIANS(A174))^2)))</f>
        <v>95.6856298193818</v>
      </c>
      <c r="D174" s="11" t="n">
        <f aca="false">Otto!$C$6</f>
        <v>79</v>
      </c>
      <c r="E174" s="11" t="n">
        <f aca="false">Otto!$C$7</f>
        <v>300</v>
      </c>
    </row>
    <row r="175" customFormat="false" ht="15" hidden="false" customHeight="false" outlineLevel="0" collapsed="false">
      <c r="A175" s="17" t="n">
        <v>680</v>
      </c>
      <c r="B175" s="5" t="s">
        <v>129</v>
      </c>
      <c r="C175" s="11" t="n">
        <f aca="false">Otto!$C$24+Otto!$C$23/2*((1-COS(RADIANS(A175)))+1/Otto!$C$26*(1-SQRT(1-Otto!$C$26^2*SIN(RADIANS(A175))^2)))</f>
        <v>86.6904727207558</v>
      </c>
      <c r="D175" s="11" t="n">
        <f aca="false">Otto!$C$6</f>
        <v>79</v>
      </c>
      <c r="E175" s="11" t="n">
        <f aca="false">Otto!$C$7</f>
        <v>300</v>
      </c>
    </row>
    <row r="176" customFormat="false" ht="15" hidden="false" customHeight="false" outlineLevel="0" collapsed="false">
      <c r="A176" s="17" t="n">
        <v>684</v>
      </c>
      <c r="B176" s="5" t="s">
        <v>129</v>
      </c>
      <c r="C176" s="11" t="n">
        <f aca="false">Otto!$C$24+Otto!$C$23/2*((1-COS(RADIANS(A176)))+1/Otto!$C$26*(1-SQRT(1-Otto!$C$26^2*SIN(RADIANS(A176))^2)))</f>
        <v>78.3361641933594</v>
      </c>
      <c r="D176" s="11" t="n">
        <f aca="false">Otto!$C$6</f>
        <v>79</v>
      </c>
      <c r="E176" s="11" t="n">
        <f aca="false">Otto!$C$7</f>
        <v>300</v>
      </c>
    </row>
    <row r="177" customFormat="false" ht="15" hidden="false" customHeight="false" outlineLevel="0" collapsed="false">
      <c r="A177" s="17" t="n">
        <v>688</v>
      </c>
      <c r="B177" s="5" t="s">
        <v>129</v>
      </c>
      <c r="C177" s="11" t="n">
        <f aca="false">Otto!$C$24+Otto!$C$23/2*((1-COS(RADIANS(A177)))+1/Otto!$C$26*(1-SQRT(1-Otto!$C$26^2*SIN(RADIANS(A177))^2)))</f>
        <v>70.6838248781049</v>
      </c>
      <c r="D177" s="11" t="n">
        <f aca="false">Otto!$C$6</f>
        <v>79</v>
      </c>
      <c r="E177" s="11" t="n">
        <f aca="false">Otto!$C$7</f>
        <v>300</v>
      </c>
    </row>
    <row r="178" customFormat="false" ht="15" hidden="false" customHeight="false" outlineLevel="0" collapsed="false">
      <c r="A178" s="17" t="n">
        <v>692</v>
      </c>
      <c r="B178" s="5" t="s">
        <v>129</v>
      </c>
      <c r="C178" s="11" t="n">
        <f aca="false">Otto!$C$24+Otto!$C$23/2*((1-COS(RADIANS(A178)))+1/Otto!$C$26*(1-SQRT(1-Otto!$C$26^2*SIN(RADIANS(A178))^2)))</f>
        <v>63.7900311401053</v>
      </c>
      <c r="D178" s="11" t="n">
        <f aca="false">Otto!$C$6</f>
        <v>79</v>
      </c>
      <c r="E178" s="11" t="n">
        <f aca="false">Otto!$C$7</f>
        <v>300</v>
      </c>
    </row>
    <row r="179" customFormat="false" ht="15" hidden="false" customHeight="false" outlineLevel="0" collapsed="false">
      <c r="A179" s="17" t="n">
        <v>696</v>
      </c>
      <c r="B179" s="5" t="s">
        <v>129</v>
      </c>
      <c r="C179" s="11" t="n">
        <f aca="false">Otto!$C$24+Otto!$C$23/2*((1-COS(RADIANS(A179)))+1/Otto!$C$26*(1-SQRT(1-Otto!$C$26^2*SIN(RADIANS(A179))^2)))</f>
        <v>57.706202314003</v>
      </c>
      <c r="D179" s="11" t="n">
        <f aca="false">Otto!$C$6</f>
        <v>79</v>
      </c>
      <c r="E179" s="11" t="n">
        <f aca="false">Otto!$C$7</f>
        <v>300</v>
      </c>
    </row>
    <row r="180" customFormat="false" ht="15" hidden="false" customHeight="false" outlineLevel="0" collapsed="false">
      <c r="A180" s="17" t="n">
        <v>700</v>
      </c>
      <c r="B180" s="5" t="s">
        <v>129</v>
      </c>
      <c r="C180" s="11" t="n">
        <f aca="false">Otto!$C$24+Otto!$C$23/2*((1-COS(RADIANS(A180)))+1/Otto!$C$26*(1-SQRT(1-Otto!$C$26^2*SIN(RADIANS(A180))^2)))</f>
        <v>52.478048962158</v>
      </c>
      <c r="D180" s="11" t="n">
        <f aca="false">Otto!$C$6</f>
        <v>79</v>
      </c>
      <c r="E180" s="11" t="n">
        <f aca="false">Otto!$C$7</f>
        <v>300</v>
      </c>
    </row>
    <row r="181" customFormat="false" ht="15" hidden="false" customHeight="false" outlineLevel="0" collapsed="false">
      <c r="A181" s="17" t="n">
        <v>704</v>
      </c>
      <c r="B181" s="5" t="s">
        <v>129</v>
      </c>
      <c r="C181" s="11" t="n">
        <f aca="false">Otto!$C$24+Otto!$C$23/2*((1-COS(RADIANS(A181)))+1/Otto!$C$26*(1-SQRT(1-Otto!$C$26^2*SIN(RADIANS(A181))^2)))</f>
        <v>48.1450871785331</v>
      </c>
      <c r="D181" s="11" t="n">
        <f aca="false">Otto!$C$6</f>
        <v>79</v>
      </c>
      <c r="E181" s="11" t="n">
        <f aca="false">Otto!$C$7</f>
        <v>300</v>
      </c>
    </row>
    <row r="182" customFormat="false" ht="15" hidden="false" customHeight="false" outlineLevel="0" collapsed="false">
      <c r="A182" s="17" t="n">
        <v>708</v>
      </c>
      <c r="B182" s="5" t="s">
        <v>129</v>
      </c>
      <c r="C182" s="11" t="n">
        <f aca="false">Otto!$C$24+Otto!$C$23/2*((1-COS(RADIANS(A182)))+1/Otto!$C$26*(1-SQRT(1-Otto!$C$26^2*SIN(RADIANS(A182))^2)))</f>
        <v>44.7402227453272</v>
      </c>
      <c r="D182" s="11" t="n">
        <f aca="false">Otto!$C$6</f>
        <v>79</v>
      </c>
      <c r="E182" s="11" t="n">
        <f aca="false">Otto!$C$7</f>
        <v>300</v>
      </c>
    </row>
    <row r="183" customFormat="false" ht="15" hidden="false" customHeight="false" outlineLevel="0" collapsed="false">
      <c r="A183" s="17" t="n">
        <v>712</v>
      </c>
      <c r="B183" s="5" t="s">
        <v>129</v>
      </c>
      <c r="C183" s="11" t="n">
        <f aca="false">Otto!$C$24+Otto!$C$23/2*((1-COS(RADIANS(A183)))+1/Otto!$C$26*(1-SQRT(1-Otto!$C$26^2*SIN(RADIANS(A183))^2)))</f>
        <v>42.2894079288863</v>
      </c>
      <c r="D183" s="11" t="n">
        <f aca="false">Otto!$C$6</f>
        <v>79</v>
      </c>
      <c r="E183" s="11" t="n">
        <f aca="false">Otto!$C$7</f>
        <v>300</v>
      </c>
    </row>
    <row r="184" customFormat="false" ht="15" hidden="false" customHeight="false" outlineLevel="0" collapsed="false">
      <c r="A184" s="17" t="n">
        <v>716</v>
      </c>
      <c r="B184" s="5" t="s">
        <v>129</v>
      </c>
      <c r="C184" s="11" t="n">
        <f aca="false">Otto!$C$24+Otto!$C$23/2*((1-COS(RADIANS(A184)))+1/Otto!$C$26*(1-SQRT(1-Otto!$C$26^2*SIN(RADIANS(A184))^2)))</f>
        <v>40.8113728808807</v>
      </c>
      <c r="D184" s="11" t="n">
        <f aca="false">Otto!$C$6</f>
        <v>79</v>
      </c>
      <c r="E184" s="11" t="n">
        <f aca="false">Otto!$C$7</f>
        <v>300</v>
      </c>
    </row>
    <row r="185" customFormat="false" ht="15" hidden="false" customHeight="false" outlineLevel="0" collapsed="false">
      <c r="A185" s="17" t="n">
        <v>720</v>
      </c>
      <c r="B185" s="5" t="s">
        <v>129</v>
      </c>
      <c r="C185" s="11" t="n">
        <f aca="false">Otto!$C$24+Otto!$C$23/2*((1-COS(RADIANS(A185)))+1/Otto!$C$26*(1-SQRT(1-Otto!$C$26^2*SIN(RADIANS(A185))^2)))</f>
        <v>40.3174329703038</v>
      </c>
      <c r="D185" s="11" t="n">
        <f aca="false">Otto!$C$6</f>
        <v>79</v>
      </c>
      <c r="E185" s="11" t="n">
        <f aca="false">Otto!$C$7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31.5" hidden="false" customHeight="true" outlineLevel="0" collapsed="false">
      <c r="A4" s="4" t="s">
        <v>15</v>
      </c>
      <c r="B4" s="4" t="s">
        <v>132</v>
      </c>
      <c r="C4" s="4" t="s">
        <v>133</v>
      </c>
      <c r="D4" s="4" t="s">
        <v>134</v>
      </c>
      <c r="E4" s="4" t="s">
        <v>135</v>
      </c>
    </row>
    <row r="5" customFormat="false" ht="15" hidden="false" customHeight="false" outlineLevel="0" collapsed="false">
      <c r="A5" s="18" t="n">
        <v>4</v>
      </c>
      <c r="B5" s="11" t="n">
        <f aca="false">(1-1/A5^(Otto!$C$10-1))*100</f>
        <v>42.5650822501482</v>
      </c>
      <c r="C5" s="11" t="n">
        <f aca="false">Otto!$C$7*A5^(Otto!$C$10-1)</f>
        <v>522.330337977674</v>
      </c>
      <c r="D5" s="11" t="n">
        <f aca="false">Otto!$C$6*A5^Otto!$C$10*(C5+Otto!$C$9/Otto!$C$11)/C5</f>
        <v>3190.85647968003</v>
      </c>
      <c r="E5" s="11" t="n">
        <f aca="false">Otto!$C$9*B5/100/(Otto!$C$27*(1-1/A5))</f>
        <v>937.321671849954</v>
      </c>
    </row>
    <row r="6" customFormat="false" ht="15" hidden="false" customHeight="false" outlineLevel="0" collapsed="false">
      <c r="A6" s="18" t="n">
        <v>5</v>
      </c>
      <c r="B6" s="11" t="n">
        <f aca="false">(1-1/A6^(Otto!$C$10-1))*100</f>
        <v>47.4694439119247</v>
      </c>
      <c r="C6" s="11" t="n">
        <f aca="false">Otto!$C$7*A6^(Otto!$C$10-1)</f>
        <v>571.096181614764</v>
      </c>
      <c r="D6" s="11" t="n">
        <f aca="false">Otto!$C$6*A6^Otto!$C$10*(C6+Otto!$C$9/Otto!$C$11)/C6</f>
        <v>4052.77896038887</v>
      </c>
      <c r="E6" s="11" t="n">
        <f aca="false">Otto!$C$9*B6/100/(Otto!$C$27*(1-1/A6))</f>
        <v>979.987648704368</v>
      </c>
    </row>
    <row r="7" customFormat="false" ht="15" hidden="false" customHeight="false" outlineLevel="0" collapsed="false">
      <c r="A7" s="18" t="n">
        <v>6</v>
      </c>
      <c r="B7" s="11" t="n">
        <f aca="false">(1-1/A7^(Otto!$C$10-1))*100</f>
        <v>51.1640658069413</v>
      </c>
      <c r="C7" s="11" t="n">
        <f aca="false">Otto!$C$7*A7^(Otto!$C$10-1)</f>
        <v>614.301753323766</v>
      </c>
      <c r="D7" s="11" t="n">
        <f aca="false">Otto!$C$6*A7^Otto!$C$10*(C7+Otto!$C$9/Otto!$C$11)/C7</f>
        <v>4931.59955576687</v>
      </c>
      <c r="E7" s="11" t="n">
        <f aca="false">Otto!$C$9*B7/100/(Otto!$C$27*(1-1/A7))</f>
        <v>1014.01117181144</v>
      </c>
    </row>
    <row r="8" customFormat="false" ht="15" hidden="false" customHeight="false" outlineLevel="0" collapsed="false">
      <c r="A8" s="18" t="n">
        <v>7</v>
      </c>
      <c r="B8" s="11" t="n">
        <f aca="false">(1-1/A8^(Otto!$C$10-1))*100</f>
        <v>54.0843450040566</v>
      </c>
      <c r="C8" s="11" t="n">
        <f aca="false">Otto!$C$7*A8^(Otto!$C$10-1)</f>
        <v>653.371927344834</v>
      </c>
      <c r="D8" s="11" t="n">
        <f aca="false">Otto!$C$6*A8^Otto!$C$10*(C8+Otto!$C$9/Otto!$C$11)/C8</f>
        <v>5825.55216917352</v>
      </c>
      <c r="E8" s="11" t="n">
        <f aca="false">Otto!$C$9*B8/100/(Otto!$C$27*(1-1/A8))</f>
        <v>1042.11298910255</v>
      </c>
    </row>
    <row r="9" customFormat="false" ht="15" hidden="false" customHeight="false" outlineLevel="0" collapsed="false">
      <c r="A9" s="18" t="n">
        <v>8</v>
      </c>
      <c r="B9" s="11" t="n">
        <f aca="false">(1-1/A9^(Otto!$C$10-1))*100</f>
        <v>56.4724718351938</v>
      </c>
      <c r="C9" s="11" t="n">
        <f aca="false">Otto!$C$7*A9^(Otto!$C$10-1)</f>
        <v>689.219012998221</v>
      </c>
      <c r="D9" s="11" t="n">
        <f aca="false">Otto!$C$6*A9^Otto!$C$10*(C9+Otto!$C$9/Otto!$C$11)/C9</f>
        <v>6733.29176807001</v>
      </c>
      <c r="E9" s="11" t="n">
        <f aca="false">Otto!$C$9*B9/100/(Otto!$C$27*(1-1/A9))</f>
        <v>1065.92141960704</v>
      </c>
    </row>
    <row r="10" customFormat="false" ht="15" hidden="false" customHeight="false" outlineLevel="0" collapsed="false">
      <c r="A10" s="18" t="n">
        <v>9</v>
      </c>
      <c r="B10" s="11" t="n">
        <f aca="false">(1-1/A10^(Otto!$C$10-1))*100</f>
        <v>58.4756353461494</v>
      </c>
      <c r="C10" s="11" t="n">
        <f aca="false">Otto!$C$7*A10^(Otto!$C$10-1)</f>
        <v>722.467405584207</v>
      </c>
      <c r="D10" s="11" t="n">
        <f aca="false">Otto!$C$6*A10^Otto!$C$10*(C10+Otto!$C$9/Otto!$C$11)/C10</f>
        <v>7653.75192950755</v>
      </c>
      <c r="E10" s="11" t="n">
        <f aca="false">Otto!$C$9*B10/100/(Otto!$C$27*(1-1/A10))</f>
        <v>1086.48545464579</v>
      </c>
    </row>
    <row r="11" customFormat="false" ht="15" hidden="false" customHeight="false" outlineLevel="0" collapsed="false">
      <c r="A11" s="18" t="n">
        <v>10</v>
      </c>
      <c r="B11" s="11" t="n">
        <f aca="false">(1-1/A11^(Otto!$C$10-1))*100</f>
        <v>60.1892829446503</v>
      </c>
      <c r="C11" s="11" t="n">
        <f aca="false">Otto!$C$7*A11^(Otto!$C$10-1)</f>
        <v>753.565929452874</v>
      </c>
      <c r="D11" s="11" t="n">
        <f aca="false">Otto!$C$6*A11^Otto!$C$10*(C11+Otto!$C$9/Otto!$C$11)/C11</f>
        <v>8586.06159008477</v>
      </c>
      <c r="E11" s="11" t="n">
        <f aca="false">Otto!$C$9*B11/100/(Otto!$C$27*(1-1/A11))</f>
        <v>1104.51878109811</v>
      </c>
    </row>
    <row r="12" customFormat="false" ht="15" hidden="false" customHeight="false" outlineLevel="0" collapsed="false">
      <c r="A12" s="18" t="n">
        <v>11</v>
      </c>
      <c r="B12" s="11" t="n">
        <f aca="false">(1-1/A12^(Otto!$C$10-1))*100</f>
        <v>61.6784624264373</v>
      </c>
      <c r="C12" s="11" t="n">
        <f aca="false">Otto!$C$7*A12^(Otto!$C$10-1)</f>
        <v>782.849590583662</v>
      </c>
      <c r="D12" s="11" t="n">
        <f aca="false">Otto!$C$6*A12^Otto!$C$10*(C12+Otto!$C$9/Otto!$C$11)/C12</f>
        <v>9529.49275416876</v>
      </c>
      <c r="E12" s="11" t="n">
        <f aca="false">Otto!$C$9*B12/100/(Otto!$C$27*(1-1/A12))</f>
        <v>1120.52788533604</v>
      </c>
    </row>
    <row r="13" customFormat="false" ht="15" hidden="false" customHeight="false" outlineLevel="0" collapsed="false">
      <c r="A13" s="18" t="n">
        <v>12</v>
      </c>
      <c r="B13" s="11" t="n">
        <f aca="false">(1-1/A13^(Otto!$C$10-1))*100</f>
        <v>62.9892827512847</v>
      </c>
      <c r="C13" s="11" t="n">
        <f aca="false">Otto!$C$7*A13^(Otto!$C$10-1)</f>
        <v>810.576023112368</v>
      </c>
      <c r="D13" s="11" t="n">
        <f aca="false">Otto!$C$6*A13^Otto!$C$10*(C13+Otto!$C$9/Otto!$C$11)/C13</f>
        <v>10483.4258040657</v>
      </c>
      <c r="E13" s="11" t="n">
        <f aca="false">Otto!$C$9*B13/100/(Otto!$C$27*(1-1/A13))</f>
        <v>1134.88451152774</v>
      </c>
    </row>
    <row r="14" customFormat="false" ht="15" hidden="false" customHeight="false" outlineLevel="0" collapsed="false">
      <c r="A14" s="18" t="n">
        <v>13</v>
      </c>
      <c r="B14" s="11" t="n">
        <f aca="false">(1-1/A14^(Otto!$C$10-1))*100</f>
        <v>64.1554890766456</v>
      </c>
      <c r="C14" s="11" t="n">
        <f aca="false">Otto!$C$7*A14^(Otto!$C$10-1)</f>
        <v>836.948230766726</v>
      </c>
      <c r="D14" s="11" t="n">
        <f aca="false">Otto!$C$6*A14^Otto!$C$10*(C14+Otto!$C$9/Otto!$C$11)/C14</f>
        <v>11447.325478608</v>
      </c>
      <c r="E14" s="11" t="n">
        <f aca="false">Otto!$C$9*B14/100/(Otto!$C$27*(1-1/A14))</f>
        <v>1147.86911640619</v>
      </c>
    </row>
    <row r="15" customFormat="false" ht="15" hidden="false" customHeight="false" outlineLevel="0" collapsed="false">
      <c r="A15" s="18" t="n">
        <v>14</v>
      </c>
      <c r="B15" s="11" t="n">
        <f aca="false">(1-1/A15^(Otto!$C$10-1))*100</f>
        <v>65.2024405302363</v>
      </c>
      <c r="C15" s="11" t="n">
        <f aca="false">Otto!$C$7*A15^(Otto!$C$10-1)</f>
        <v>862.129426808441</v>
      </c>
      <c r="D15" s="11" t="n">
        <f aca="false">Otto!$C$6*A15^Otto!$C$10*(C15+Otto!$C$9/Otto!$C$11)/C15</f>
        <v>12420.7236530362</v>
      </c>
      <c r="E15" s="11" t="n">
        <f aca="false">Otto!$C$9*B15/100/(Otto!$C$27*(1-1/A15))</f>
        <v>1159.69819179482</v>
      </c>
    </row>
    <row r="16" customFormat="false" ht="15" hidden="false" customHeight="false" outlineLevel="0" collapsed="false">
      <c r="A16" s="18" t="n">
        <v>15</v>
      </c>
      <c r="B16" s="11" t="n">
        <f aca="false">(1-1/A16^(Otto!$C$10-1))*100</f>
        <v>66.1496240534173</v>
      </c>
      <c r="C16" s="11" t="n">
        <f aca="false">Otto!$C$7*A16^(Otto!$C$10-1)</f>
        <v>886.253081718833</v>
      </c>
      <c r="D16" s="11" t="n">
        <f aca="false">Otto!$C$6*A16^Otto!$C$10*(C16+Otto!$C$9/Otto!$C$11)/C16</f>
        <v>13403.2066365777</v>
      </c>
      <c r="E16" s="11" t="n">
        <f aca="false">Otto!$C$9*B16/100/(Otto!$C$27*(1-1/A16))</f>
        <v>1170.54212797361</v>
      </c>
    </row>
    <row r="17" customFormat="false" ht="15" hidden="false" customHeight="false" outlineLevel="0" collapsed="false">
      <c r="A17" s="18" t="n">
        <v>16</v>
      </c>
      <c r="B17" s="11" t="n">
        <f aca="false">(1-1/A17^(Otto!$C$10-1))*100</f>
        <v>67.0123022306776</v>
      </c>
      <c r="C17" s="11" t="n">
        <f aca="false">Otto!$C$7*A17^(Otto!$C$10-1)</f>
        <v>909.429939906239</v>
      </c>
      <c r="D17" s="11" t="n">
        <f aca="false">Otto!$C$6*A17^Otto!$C$10*(C17+Otto!$C$9/Otto!$C$11)/C17</f>
        <v>14394.4055748458</v>
      </c>
      <c r="E17" s="11" t="n">
        <f aca="false">Otto!$C$9*B17/100/(Otto!$C$27*(1-1/A17))</f>
        <v>1180.53728250281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2026-09-15T21:43:39Z</dcterms:created>
  <dc:creator>openpyxl</dc:creator>
  <dc:description/>
  <dc:language>en-US</dc:language>
  <cp:lastModifiedBy/>
  <dcterms:modified xsi:type="dcterms:W3CDTF">2026-09-15T21:43:42Z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