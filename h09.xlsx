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alculos" sheetId="3" state="visible" r:id="rId5"/>
    <sheet name="Tiempo_bobina" sheetId="4" state="visible" r:id="rId6"/>
    <sheet name="Rueda_fonica" sheetId="5" state="visible" r:id="rId7"/>
    <sheet name="Registr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<sst xmlns="http://schemas.openxmlformats.org/spreadsheetml/2006/main" count="151" uniqueCount="126">
  <si>
    <t xml:space="preserve">Práctica 8 — Parte 3: encendido estático de chispa perdida (DIS)</t>
  </si>
  <si>
    <t xml:space="preserve">Libro de cálculo de apoyo a la guía de clase práctica — Electricidad Automotriz, ISTS</t>
  </si>
  <si>
    <t xml:space="preserve">Uso:</t>
  </si>
  <si>
    <t xml:space="preserve">1. Escriba sus medidas SOLO en las celdas de fondo amarillo y texto azul de "Datos" (incluido el orden de encendido, una posición por celda).</t>
  </si>
  <si>
    <t xml:space="preserve">2. "Calculos" aplica las ecuaciones (1) a (11) de la guía y obtiene los pares de cilindros.</t>
  </si>
  <si>
    <t xml:space="preserve">3. "Tiempo_bobina" y "Rueda_fonica" generan tablas y gráficas de doble eje; "Registro" reproduce la tabla de la guía.</t>
  </si>
  <si>
    <t xml:space="preserve">Convención de colores: azul con fondo amarillo = dato de entrada; negro = fórmula.</t>
  </si>
  <si>
    <t xml:space="preserve">Fuentes: Bosch (2008), Sánchez (2009), Minga González (s. f.). Los valores de U_c y U_e son de ejemplo: léalos en el osciloscopio.</t>
  </si>
  <si>
    <t xml:space="preserve">Dato</t>
  </si>
  <si>
    <t xml:space="preserve">Símbolo</t>
  </si>
  <si>
    <t xml:space="preserve">Valor</t>
  </si>
  <si>
    <t xml:space="preserve">Unidad</t>
  </si>
  <si>
    <t xml:space="preserve">Origen / comentario</t>
  </si>
  <si>
    <t xml:space="preserve">Tensión de batería</t>
  </si>
  <si>
    <t xml:space="preserve">U_B</t>
  </si>
  <si>
    <t xml:space="preserve">V</t>
  </si>
  <si>
    <t xml:space="preserve">Resistencia del primario</t>
  </si>
  <si>
    <t xml:space="preserve">R1</t>
  </si>
  <si>
    <t xml:space="preserve">Ω</t>
  </si>
  <si>
    <t xml:space="preserve">0,4 – 1 Ω (Sánchez, 2009)</t>
  </si>
  <si>
    <t xml:space="preserve">Número de cilindros (par)</t>
  </si>
  <si>
    <t xml:space="preserve">z</t>
  </si>
  <si>
    <t xml:space="preserve">—</t>
  </si>
  <si>
    <t xml:space="preserve">Tiempo de carga medido</t>
  </si>
  <si>
    <t xml:space="preserve">tc</t>
  </si>
  <si>
    <t xml:space="preserve">ms</t>
  </si>
  <si>
    <t xml:space="preserve">Osciloscopio (primario)</t>
  </si>
  <si>
    <t xml:space="preserve">Tensión de la chispa principal</t>
  </si>
  <si>
    <t xml:space="preserve">Uc</t>
  </si>
  <si>
    <t xml:space="preserve">kV</t>
  </si>
  <si>
    <t xml:space="preserve">Osciloscopio (ejemplo)</t>
  </si>
  <si>
    <t xml:space="preserve">Tensión de la chispa perdida</t>
  </si>
  <si>
    <t xml:space="preserve">Ue</t>
  </si>
  <si>
    <t xml:space="preserve">Tensión máxima de la bobina</t>
  </si>
  <si>
    <t xml:space="preserve">Umax</t>
  </si>
  <si>
    <t xml:space="preserve">Dato del fabricante</t>
  </si>
  <si>
    <t xml:space="preserve">Resistencia del secundario</t>
  </si>
  <si>
    <t xml:space="preserve">R2</t>
  </si>
  <si>
    <t xml:space="preserve">kΩ</t>
  </si>
  <si>
    <t xml:space="preserve">Medida entre salidas</t>
  </si>
  <si>
    <t xml:space="preserve">Resistencia del cable a</t>
  </si>
  <si>
    <t xml:space="preserve">Rca</t>
  </si>
  <si>
    <t xml:space="preserve">Resistencia del cable b</t>
  </si>
  <si>
    <t xml:space="preserve">Rcb</t>
  </si>
  <si>
    <t xml:space="preserve">Resistencia medida del par con cables</t>
  </si>
  <si>
    <t xml:space="preserve">Rmed</t>
  </si>
  <si>
    <t xml:space="preserve">Entre terminales de bujía</t>
  </si>
  <si>
    <t xml:space="preserve">Número de dientes de la rueda fónica (incluidos ausentes)</t>
  </si>
  <si>
    <t xml:space="preserve">Zd</t>
  </si>
  <si>
    <t xml:space="preserve">60 − 2 habitual</t>
  </si>
  <si>
    <t xml:space="preserve">Régimen 1 (ralentí)</t>
  </si>
  <si>
    <t xml:space="preserve">n1</t>
  </si>
  <si>
    <t xml:space="preserve">r. p. m.</t>
  </si>
  <si>
    <t xml:space="preserve">Régimen 2</t>
  </si>
  <si>
    <t xml:space="preserve">n2</t>
  </si>
  <si>
    <t xml:space="preserve">Régimen 3</t>
  </si>
  <si>
    <t xml:space="preserve">n3</t>
  </si>
  <si>
    <t xml:space="preserve">Régimen 4</t>
  </si>
  <si>
    <t xml:space="preserve">n4</t>
  </si>
  <si>
    <t xml:space="preserve">Orden de encendido (una posición por celda; deje vacías las que sobren)</t>
  </si>
  <si>
    <t xml:space="preserve">Cilindro en la posición →</t>
  </si>
  <si>
    <t xml:space="preserve">Ec.</t>
  </si>
  <si>
    <t xml:space="preserve">Magnitud</t>
  </si>
  <si>
    <t xml:space="preserve">Fórmula</t>
  </si>
  <si>
    <t xml:space="preserve">Resultado</t>
  </si>
  <si>
    <t xml:space="preserve">Referencia / interpretación</t>
  </si>
  <si>
    <t xml:space="preserve">(1)</t>
  </si>
  <si>
    <t xml:space="preserve">Número de bobinas dobles</t>
  </si>
  <si>
    <t xml:space="preserve">Nbob = z/2</t>
  </si>
  <si>
    <t xml:space="preserve">(2)</t>
  </si>
  <si>
    <t xml:space="preserve">Intervalo entre disparos de cada bobina a n4</t>
  </si>
  <si>
    <t xml:space="preserve">Tbob = 60/n</t>
  </si>
  <si>
    <t xml:space="preserve">(3)</t>
  </si>
  <si>
    <t xml:space="preserve">Intervalo equivalente con distribuidor a n4</t>
  </si>
  <si>
    <t xml:space="preserve">Tdist = 120/(n·z)</t>
  </si>
  <si>
    <t xml:space="preserve">(4)</t>
  </si>
  <si>
    <t xml:space="preserve">Fracción de cierre a n4</t>
  </si>
  <si>
    <t xml:space="preserve">DC = tc/Tbob·100</t>
  </si>
  <si>
    <t xml:space="preserve">%</t>
  </si>
  <si>
    <t xml:space="preserve">(5)</t>
  </si>
  <si>
    <t xml:space="preserve">Corriente sin limitación</t>
  </si>
  <si>
    <t xml:space="preserve">Imáx = U_B/R1</t>
  </si>
  <si>
    <t xml:space="preserve">A</t>
  </si>
  <si>
    <t xml:space="preserve">0,5 Ω → 24 A</t>
  </si>
  <si>
    <t xml:space="preserve">(6)</t>
  </si>
  <si>
    <t xml:space="preserve">Tensión exigida al secundario del par</t>
  </si>
  <si>
    <t xml:space="preserve">Ubob = Uc + Ue</t>
  </si>
  <si>
    <t xml:space="preserve">(7)</t>
  </si>
  <si>
    <t xml:space="preserve">Reserva de tensión</t>
  </si>
  <si>
    <t xml:space="preserve">ΔU = Umáx − Ubob</t>
  </si>
  <si>
    <t xml:space="preserve">(8)</t>
  </si>
  <si>
    <t xml:space="preserve">Resistencia calculada del par</t>
  </si>
  <si>
    <t xml:space="preserve">Rpar = R2 + Rca + Rcb</t>
  </si>
  <si>
    <t xml:space="preserve">Diferencia con la medida</t>
  </si>
  <si>
    <t xml:space="preserve">Rmed − Rpar</t>
  </si>
  <si>
    <t xml:space="preserve">Grande → cable o terminal dañado</t>
  </si>
  <si>
    <t xml:space="preserve">(9)</t>
  </si>
  <si>
    <t xml:space="preserve">Frecuencia del sensor de revolución a n1</t>
  </si>
  <si>
    <t xml:space="preserve">fs = n·Z/60</t>
  </si>
  <si>
    <t xml:space="preserve">Hz</t>
  </si>
  <si>
    <t xml:space="preserve">60−2 a 800 r. p. m.: 800 Hz</t>
  </si>
  <si>
    <t xml:space="preserve">(10)</t>
  </si>
  <si>
    <t xml:space="preserve">Ángulo entre dientes</t>
  </si>
  <si>
    <t xml:space="preserve">αd = 360/Z</t>
  </si>
  <si>
    <t xml:space="preserve">°</t>
  </si>
  <si>
    <t xml:space="preserve">(11)</t>
  </si>
  <si>
    <t xml:space="preserve">Tiempo entre dientes a n1</t>
  </si>
  <si>
    <t xml:space="preserve">td = 60/(n·Z)</t>
  </si>
  <si>
    <t xml:space="preserve">Duración del hueco de dos dientes a n1</t>
  </si>
  <si>
    <t xml:space="preserve">3·td</t>
  </si>
  <si>
    <t xml:space="preserve">Pares de cilindros (posición j con j + z/2 del orden de encendido)</t>
  </si>
  <si>
    <t xml:space="preserve">Bobina</t>
  </si>
  <si>
    <t xml:space="preserve">Cilindro (posición j)</t>
  </si>
  <si>
    <t xml:space="preserve">Cilindro (posición j + z/2)</t>
  </si>
  <si>
    <t xml:space="preserve">n (r. p. m.)</t>
  </si>
  <si>
    <t xml:space="preserve">Tbob DIS (ms)</t>
  </si>
  <si>
    <t xml:space="preserve">Tdist (ms)</t>
  </si>
  <si>
    <t xml:space="preserve">DC necesario DIS (%)</t>
  </si>
  <si>
    <t xml:space="preserve">DC necesario distribuidor (%)</t>
  </si>
  <si>
    <t xml:space="preserve">fs (Hz)</t>
  </si>
  <si>
    <t xml:space="preserve">td (ms)</t>
  </si>
  <si>
    <t xml:space="preserve">Régimen (r. p. m.)</t>
  </si>
  <si>
    <t xml:space="preserve">Tbob (ms)</t>
  </si>
  <si>
    <t xml:space="preserve">Tdist equivalente (ms)</t>
  </si>
  <si>
    <t xml:space="preserve">tc medido (ms)</t>
  </si>
  <si>
    <t xml:space="preserve">DC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</si>
</sst>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C7D6B1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A9C37E"/>
      <rgbColor rgb="FF3366FF"/>
      <rgbColor rgb="FF33CCCC"/>
      <rgbColor rgb="FF8EAD4F"/>
      <rgbColor rgb="FFFFCC00"/>
      <rgbColor rgb="FFFF9900"/>
      <rgbColor rgb="FFFF6600"/>
      <rgbColor rgb="FF666699"/>
      <rgbColor rgb="FF999999"/>
      <rgbColor rgb="FF003366"/>
      <rgbColor rgb="FF87A44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Intervalo entre disparos (eje izq.) y fracción de cierre necesaria (eje der.) — DIS frente a distribuidor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"Tbob DIS"</c:f>
              <c:strCache>
                <c:ptCount val="1"/>
                <c:pt idx="0">
                  <c:v>Tbob DIS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Tiempo_bobina!$B$2:$B$28</c:f>
              <c:numCache>
                <c:formatCode>0.00</c:formatCode>
                <c:ptCount val="27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48</c:v>
                </c:pt>
                <c:pt idx="4">
                  <c:v>40</c:v>
                </c:pt>
                <c:pt idx="5">
                  <c:v>34.2857142857143</c:v>
                </c:pt>
                <c:pt idx="6">
                  <c:v>30</c:v>
                </c:pt>
                <c:pt idx="7">
                  <c:v>26.6666666666667</c:v>
                </c:pt>
                <c:pt idx="8">
                  <c:v>24</c:v>
                </c:pt>
                <c:pt idx="9">
                  <c:v>21.8181818181818</c:v>
                </c:pt>
                <c:pt idx="10">
                  <c:v>20</c:v>
                </c:pt>
                <c:pt idx="11">
                  <c:v>18.4615384615385</c:v>
                </c:pt>
                <c:pt idx="12">
                  <c:v>17.1428571428571</c:v>
                </c:pt>
                <c:pt idx="13">
                  <c:v>16</c:v>
                </c:pt>
                <c:pt idx="14">
                  <c:v>15</c:v>
                </c:pt>
                <c:pt idx="15">
                  <c:v>14.1176470588235</c:v>
                </c:pt>
                <c:pt idx="16">
                  <c:v>13.3333333333333</c:v>
                </c:pt>
                <c:pt idx="17">
                  <c:v>12.6315789473684</c:v>
                </c:pt>
                <c:pt idx="18">
                  <c:v>12</c:v>
                </c:pt>
                <c:pt idx="19">
                  <c:v>11.4285714285714</c:v>
                </c:pt>
                <c:pt idx="20">
                  <c:v>10.9090909090909</c:v>
                </c:pt>
                <c:pt idx="21">
                  <c:v>10.4347826086957</c:v>
                </c:pt>
                <c:pt idx="22">
                  <c:v>10</c:v>
                </c:pt>
                <c:pt idx="23">
                  <c:v>9.6</c:v>
                </c:pt>
                <c:pt idx="24">
                  <c:v>9.23076923076923</c:v>
                </c:pt>
                <c:pt idx="25">
                  <c:v>8.88888888888889</c:v>
                </c:pt>
                <c:pt idx="26">
                  <c:v>8.57142857142857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"Tdist"</c:f>
              <c:strCache>
                <c:ptCount val="1"/>
                <c:pt idx="0">
                  <c:v>Tdist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Tiempo_bobina!$C$2:$C$28</c:f>
              <c:numCache>
                <c:formatCode>0.00</c:formatCode>
                <c:ptCount val="27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24</c:v>
                </c:pt>
                <c:pt idx="4">
                  <c:v>20</c:v>
                </c:pt>
                <c:pt idx="5">
                  <c:v>17.1428571428571</c:v>
                </c:pt>
                <c:pt idx="6">
                  <c:v>15</c:v>
                </c:pt>
                <c:pt idx="7">
                  <c:v>13.3333333333333</c:v>
                </c:pt>
                <c:pt idx="8">
                  <c:v>12</c:v>
                </c:pt>
                <c:pt idx="9">
                  <c:v>10.9090909090909</c:v>
                </c:pt>
                <c:pt idx="10">
                  <c:v>10</c:v>
                </c:pt>
                <c:pt idx="11">
                  <c:v>9.23076923076923</c:v>
                </c:pt>
                <c:pt idx="12">
                  <c:v>8.57142857142857</c:v>
                </c:pt>
                <c:pt idx="13">
                  <c:v>8</c:v>
                </c:pt>
                <c:pt idx="14">
                  <c:v>7.5</c:v>
                </c:pt>
                <c:pt idx="15">
                  <c:v>7.05882352941176</c:v>
                </c:pt>
                <c:pt idx="16">
                  <c:v>6.66666666666667</c:v>
                </c:pt>
                <c:pt idx="17">
                  <c:v>6.31578947368421</c:v>
                </c:pt>
                <c:pt idx="18">
                  <c:v>6</c:v>
                </c:pt>
                <c:pt idx="19">
                  <c:v>5.71428571428571</c:v>
                </c:pt>
                <c:pt idx="20">
                  <c:v>5.45454545454545</c:v>
                </c:pt>
                <c:pt idx="21">
                  <c:v>5.21739130434783</c:v>
                </c:pt>
                <c:pt idx="22">
                  <c:v>5</c:v>
                </c:pt>
                <c:pt idx="23">
                  <c:v>4.8</c:v>
                </c:pt>
                <c:pt idx="24">
                  <c:v>4.61538461538462</c:v>
                </c:pt>
                <c:pt idx="25">
                  <c:v>4.44444444444445</c:v>
                </c:pt>
                <c:pt idx="26">
                  <c:v>4.28571428571429</c:v>
                </c:pt>
              </c:numCache>
            </c:numRef>
          </c:yVal>
          <c:smooth val="1"/>
        </c:ser>
        <c:axId val="61877096"/>
        <c:axId val="57390928"/>
      </c:scatterChart>
      <c:scatterChart>
        <c:scatterStyle val="line"/>
        <c:varyColors val="0"/>
        <c:ser>
          <c:idx val="2"/>
          <c:order val="2"/>
          <c:tx>
            <c:strRef>
              <c:f>"DC DIS"</c:f>
              <c:strCache>
                <c:ptCount val="1"/>
                <c:pt idx="0">
                  <c:v>DC DIS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Tiempo_bobina!$D$2:$D$28</c:f>
              <c:numCache>
                <c:formatCode>0.0</c:formatCode>
                <c:ptCount val="27"/>
                <c:pt idx="0">
                  <c:v>3.33333333333333</c:v>
                </c:pt>
                <c:pt idx="1">
                  <c:v>5</c:v>
                </c:pt>
                <c:pt idx="2">
                  <c:v>6.66666666666667</c:v>
                </c:pt>
                <c:pt idx="3">
                  <c:v>8.33333333333333</c:v>
                </c:pt>
                <c:pt idx="4">
                  <c:v>10</c:v>
                </c:pt>
                <c:pt idx="5">
                  <c:v>11.6666666666667</c:v>
                </c:pt>
                <c:pt idx="6">
                  <c:v>13.3333333333333</c:v>
                </c:pt>
                <c:pt idx="7">
                  <c:v>15</c:v>
                </c:pt>
                <c:pt idx="8">
                  <c:v>16.6666666666667</c:v>
                </c:pt>
                <c:pt idx="9">
                  <c:v>18.3333333333333</c:v>
                </c:pt>
                <c:pt idx="10">
                  <c:v>20</c:v>
                </c:pt>
                <c:pt idx="11">
                  <c:v>21.6666666666667</c:v>
                </c:pt>
                <c:pt idx="12">
                  <c:v>23.3333333333333</c:v>
                </c:pt>
                <c:pt idx="13">
                  <c:v>25</c:v>
                </c:pt>
                <c:pt idx="14">
                  <c:v>26.6666666666667</c:v>
                </c:pt>
                <c:pt idx="15">
                  <c:v>28.3333333333333</c:v>
                </c:pt>
                <c:pt idx="16">
                  <c:v>30</c:v>
                </c:pt>
                <c:pt idx="17">
                  <c:v>31.6666666666667</c:v>
                </c:pt>
                <c:pt idx="18">
                  <c:v>33.3333333333333</c:v>
                </c:pt>
                <c:pt idx="19">
                  <c:v>35</c:v>
                </c:pt>
                <c:pt idx="20">
                  <c:v>36.6666666666667</c:v>
                </c:pt>
                <c:pt idx="21">
                  <c:v>38.3333333333333</c:v>
                </c:pt>
                <c:pt idx="22">
                  <c:v>40</c:v>
                </c:pt>
                <c:pt idx="23">
                  <c:v>41.6666666666667</c:v>
                </c:pt>
                <c:pt idx="24">
                  <c:v>43.3333333333333</c:v>
                </c:pt>
                <c:pt idx="25">
                  <c:v>45</c:v>
                </c:pt>
                <c:pt idx="26">
                  <c:v>46.6666666666667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"DC distribuidor"</c:f>
              <c:strCache>
                <c:ptCount val="1"/>
                <c:pt idx="0">
                  <c:v>DC distribuidor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Tiempo_bobina!$E$2:$E$28</c:f>
              <c:numCache>
                <c:formatCode>0.0</c:formatCode>
                <c:ptCount val="27"/>
                <c:pt idx="0">
                  <c:v>6.66666666666667</c:v>
                </c:pt>
                <c:pt idx="1">
                  <c:v>10</c:v>
                </c:pt>
                <c:pt idx="2">
                  <c:v>13.3333333333333</c:v>
                </c:pt>
                <c:pt idx="3">
                  <c:v>16.6666666666667</c:v>
                </c:pt>
                <c:pt idx="4">
                  <c:v>20</c:v>
                </c:pt>
                <c:pt idx="5">
                  <c:v>23.3333333333333</c:v>
                </c:pt>
                <c:pt idx="6">
                  <c:v>26.6666666666667</c:v>
                </c:pt>
                <c:pt idx="7">
                  <c:v>30</c:v>
                </c:pt>
                <c:pt idx="8">
                  <c:v>33.3333333333333</c:v>
                </c:pt>
                <c:pt idx="9">
                  <c:v>36.6666666666667</c:v>
                </c:pt>
                <c:pt idx="10">
                  <c:v>40</c:v>
                </c:pt>
                <c:pt idx="11">
                  <c:v>43.3333333333333</c:v>
                </c:pt>
                <c:pt idx="12">
                  <c:v>46.6666666666667</c:v>
                </c:pt>
                <c:pt idx="13">
                  <c:v>50</c:v>
                </c:pt>
                <c:pt idx="14">
                  <c:v>53.3333333333333</c:v>
                </c:pt>
                <c:pt idx="15">
                  <c:v>56.6666666666667</c:v>
                </c:pt>
                <c:pt idx="16">
                  <c:v>60</c:v>
                </c:pt>
                <c:pt idx="17">
                  <c:v>63.3333333333333</c:v>
                </c:pt>
                <c:pt idx="18">
                  <c:v>66.6666666666667</c:v>
                </c:pt>
                <c:pt idx="19">
                  <c:v>70</c:v>
                </c:pt>
                <c:pt idx="20">
                  <c:v>73.3333333333333</c:v>
                </c:pt>
                <c:pt idx="21">
                  <c:v>76.6666666666667</c:v>
                </c:pt>
                <c:pt idx="22">
                  <c:v>80</c:v>
                </c:pt>
                <c:pt idx="23">
                  <c:v>83.3333333333333</c:v>
                </c:pt>
                <c:pt idx="24">
                  <c:v>86.6666666666667</c:v>
                </c:pt>
                <c:pt idx="25">
                  <c:v>90</c:v>
                </c:pt>
                <c:pt idx="26">
                  <c:v>93.3333333333333</c:v>
                </c:pt>
              </c:numCache>
            </c:numRef>
          </c:yVal>
          <c:smooth val="1"/>
        </c:ser>
        <c:axId val="31322368"/>
        <c:axId val="73451661"/>
      </c:scatterChart>
      <c:valAx>
        <c:axId val="618770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90928"/>
        <c:crosses val="autoZero"/>
        <c:crossBetween val="midCat"/>
      </c:valAx>
      <c:valAx>
        <c:axId val="57390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Intervalo entre disparos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77096"/>
        <c:crosses val="autoZero"/>
        <c:crossBetween val="midCat"/>
      </c:valAx>
      <c:valAx>
        <c:axId val="3132236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51661"/>
        <c:crosses val="autoZero"/>
        <c:crossBetween val="midCat"/>
      </c:valAx>
      <c:valAx>
        <c:axId val="7345166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Fracción de cierre para tc fijo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22368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(eje izq.) y tiempo entre dientes (eje der.) del sensor de revolución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"fs"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Rueda_fonica!$A$2:$A$28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Rueda_fonica!$B$2:$B$28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yVal>
          <c:smooth val="1"/>
        </c:ser>
        <c:axId val="21978970"/>
        <c:axId val="33125913"/>
      </c:scatterChart>
      <c:scatterChart>
        <c:scatterStyle val="line"/>
        <c:varyColors val="0"/>
        <c:ser>
          <c:idx val="1"/>
          <c:order val="1"/>
          <c:tx>
            <c:strRef>
              <c:f>"td"</c:f>
              <c:strCache>
                <c:ptCount val="1"/>
                <c:pt idx="0">
                  <c:v>td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Rueda_fonica!$A$2:$A$28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Rueda_fonica!$C$2:$C$28</c:f>
              <c:numCache>
                <c:formatCode>0.000</c:formatCode>
                <c:ptCount val="27"/>
                <c:pt idx="0">
                  <c:v>2</c:v>
                </c:pt>
                <c:pt idx="1">
                  <c:v>1.33333333333333</c:v>
                </c:pt>
                <c:pt idx="2">
                  <c:v>1</c:v>
                </c:pt>
                <c:pt idx="3">
                  <c:v>0.8</c:v>
                </c:pt>
                <c:pt idx="4">
                  <c:v>0.666666666666667</c:v>
                </c:pt>
                <c:pt idx="5">
                  <c:v>0.571428571428571</c:v>
                </c:pt>
                <c:pt idx="6">
                  <c:v>0.5</c:v>
                </c:pt>
                <c:pt idx="7">
                  <c:v>0.444444444444444</c:v>
                </c:pt>
                <c:pt idx="8">
                  <c:v>0.4</c:v>
                </c:pt>
                <c:pt idx="9">
                  <c:v>0.363636363636364</c:v>
                </c:pt>
                <c:pt idx="10">
                  <c:v>0.333333333333333</c:v>
                </c:pt>
                <c:pt idx="11">
                  <c:v>0.307692307692308</c:v>
                </c:pt>
                <c:pt idx="12">
                  <c:v>0.285714285714286</c:v>
                </c:pt>
                <c:pt idx="13">
                  <c:v>0.266666666666667</c:v>
                </c:pt>
                <c:pt idx="14">
                  <c:v>0.25</c:v>
                </c:pt>
                <c:pt idx="15">
                  <c:v>0.235294117647059</c:v>
                </c:pt>
                <c:pt idx="16">
                  <c:v>0.222222222222222</c:v>
                </c:pt>
                <c:pt idx="17">
                  <c:v>0.210526315789474</c:v>
                </c:pt>
                <c:pt idx="18">
                  <c:v>0.2</c:v>
                </c:pt>
                <c:pt idx="19">
                  <c:v>0.19047619047619</c:v>
                </c:pt>
                <c:pt idx="20">
                  <c:v>0.181818181818182</c:v>
                </c:pt>
                <c:pt idx="21">
                  <c:v>0.173913043478261</c:v>
                </c:pt>
                <c:pt idx="22">
                  <c:v>0.166666666666667</c:v>
                </c:pt>
                <c:pt idx="23">
                  <c:v>0.16</c:v>
                </c:pt>
                <c:pt idx="24">
                  <c:v>0.153846153846154</c:v>
                </c:pt>
                <c:pt idx="25">
                  <c:v>0.148148148148148</c:v>
                </c:pt>
                <c:pt idx="26">
                  <c:v>0.142857142857143</c:v>
                </c:pt>
              </c:numCache>
            </c:numRef>
          </c:yVal>
          <c:smooth val="1"/>
        </c:ser>
        <c:axId val="32816004"/>
        <c:axId val="59428359"/>
      </c:scatterChart>
      <c:valAx>
        <c:axId val="219789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25913"/>
        <c:crosses val="autoZero"/>
        <c:crossBetween val="midCat"/>
      </c:valAx>
      <c:valAx>
        <c:axId val="33125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78970"/>
        <c:crosses val="autoZero"/>
        <c:crossBetween val="midCat"/>
      </c:valAx>
      <c:valAx>
        <c:axId val="3281600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28359"/>
        <c:crosses val="autoZero"/>
        <c:crossBetween val="midCat"/>
      </c:valAx>
      <c:valAx>
        <c:axId val="5942835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entre dientes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16004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380880</xdr:rowOff>
    </xdr:from>
    <xdr:to>
      <xdr:col>20</xdr:col>
      <xdr:colOff>78480</xdr:colOff>
      <xdr:row>21</xdr:row>
      <xdr:rowOff>66240</xdr:rowOff>
    </xdr:to>
    <xdr:graphicFrame>
      <xdr:nvGraphicFramePr>
        <xdr:cNvPr id="0" name="Chart 1"/>
        <xdr:cNvGraphicFramePr/>
      </xdr:nvGraphicFramePr>
      <xdr:xfrm>
        <a:off x="366912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39960</xdr:rowOff>
    </xdr:from>
    <xdr:to>
      <xdr:col>18</xdr:col>
      <xdr:colOff>78840</xdr:colOff>
      <xdr:row>23</xdr:row>
      <xdr:rowOff>168480</xdr:rowOff>
    </xdr:to>
    <xdr:graphicFrame>
      <xdr:nvGraphicFramePr>
        <xdr:cNvPr id="1" name="Chart 1"/>
        <xdr:cNvGraphicFramePr/>
      </xdr:nvGraphicFramePr>
      <xdr:xfrm>
        <a:off x="244620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customFormat="false" ht="15" hidden="false" customHeight="false" outlineLevel="0" collapsed="false">
      <c r="A2" s="5" t="s">
        <v>13</v>
      </c>
      <c r="B2" s="5" t="s">
        <v>14</v>
      </c>
      <c r="C2" s="6" t="n">
        <v>12</v>
      </c>
      <c r="D2" s="5" t="s">
        <v>15</v>
      </c>
      <c r="E2" s="5"/>
    </row>
    <row r="3" customFormat="false" ht="15" hidden="false" customHeight="false" outlineLevel="0" collapsed="false">
      <c r="A3" s="5" t="s">
        <v>16</v>
      </c>
      <c r="B3" s="5" t="s">
        <v>17</v>
      </c>
      <c r="C3" s="6" t="n">
        <v>0.5</v>
      </c>
      <c r="D3" s="5" t="s">
        <v>18</v>
      </c>
      <c r="E3" s="5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6" t="n">
        <v>4</v>
      </c>
      <c r="D4" s="5" t="s">
        <v>22</v>
      </c>
      <c r="E4" s="5"/>
    </row>
    <row r="5" customFormat="false" ht="15" hidden="false" customHeight="false" outlineLevel="0" collapsed="false">
      <c r="A5" s="5" t="s">
        <v>23</v>
      </c>
      <c r="B5" s="5" t="s">
        <v>24</v>
      </c>
      <c r="C5" s="6" t="n">
        <v>4</v>
      </c>
      <c r="D5" s="5" t="s">
        <v>25</v>
      </c>
      <c r="E5" s="5" t="s">
        <v>26</v>
      </c>
    </row>
    <row r="6" customFormat="false" ht="15" hidden="false" customHeight="false" outlineLevel="0" collapsed="false">
      <c r="A6" s="5" t="s">
        <v>27</v>
      </c>
      <c r="B6" s="5" t="s">
        <v>28</v>
      </c>
      <c r="C6" s="6" t="n">
        <v>10</v>
      </c>
      <c r="D6" s="5" t="s">
        <v>29</v>
      </c>
      <c r="E6" s="5" t="s">
        <v>30</v>
      </c>
    </row>
    <row r="7" customFormat="false" ht="15" hidden="false" customHeight="false" outlineLevel="0" collapsed="false">
      <c r="A7" s="5" t="s">
        <v>31</v>
      </c>
      <c r="B7" s="5" t="s">
        <v>32</v>
      </c>
      <c r="C7" s="6" t="n">
        <v>2</v>
      </c>
      <c r="D7" s="5" t="s">
        <v>29</v>
      </c>
      <c r="E7" s="5" t="s">
        <v>30</v>
      </c>
    </row>
    <row r="8" customFormat="false" ht="15" hidden="false" customHeight="false" outlineLevel="0" collapsed="false">
      <c r="A8" s="5" t="s">
        <v>33</v>
      </c>
      <c r="B8" s="5" t="s">
        <v>34</v>
      </c>
      <c r="C8" s="6" t="n">
        <v>30</v>
      </c>
      <c r="D8" s="5" t="s">
        <v>29</v>
      </c>
      <c r="E8" s="5" t="s">
        <v>35</v>
      </c>
    </row>
    <row r="9" customFormat="false" ht="15" hidden="false" customHeight="false" outlineLevel="0" collapsed="false">
      <c r="A9" s="5" t="s">
        <v>36</v>
      </c>
      <c r="B9" s="5" t="s">
        <v>37</v>
      </c>
      <c r="C9" s="6" t="n">
        <v>11.5</v>
      </c>
      <c r="D9" s="5" t="s">
        <v>38</v>
      </c>
      <c r="E9" s="5" t="s">
        <v>39</v>
      </c>
    </row>
    <row r="10" customFormat="false" ht="15" hidden="false" customHeight="false" outlineLevel="0" collapsed="false">
      <c r="A10" s="5" t="s">
        <v>40</v>
      </c>
      <c r="B10" s="5" t="s">
        <v>41</v>
      </c>
      <c r="C10" s="6" t="n">
        <v>5.8</v>
      </c>
      <c r="D10" s="5" t="s">
        <v>38</v>
      </c>
      <c r="E10" s="5"/>
    </row>
    <row r="11" customFormat="false" ht="15" hidden="false" customHeight="false" outlineLevel="0" collapsed="false">
      <c r="A11" s="5" t="s">
        <v>42</v>
      </c>
      <c r="B11" s="5" t="s">
        <v>43</v>
      </c>
      <c r="C11" s="6" t="n">
        <v>6.4</v>
      </c>
      <c r="D11" s="5" t="s">
        <v>38</v>
      </c>
      <c r="E11" s="5"/>
    </row>
    <row r="12" customFormat="false" ht="15" hidden="false" customHeight="false" outlineLevel="0" collapsed="false">
      <c r="A12" s="5" t="s">
        <v>44</v>
      </c>
      <c r="B12" s="5" t="s">
        <v>45</v>
      </c>
      <c r="C12" s="6" t="n">
        <v>24.5</v>
      </c>
      <c r="D12" s="5" t="s">
        <v>38</v>
      </c>
      <c r="E12" s="5" t="s">
        <v>46</v>
      </c>
    </row>
    <row r="13" customFormat="false" ht="15" hidden="false" customHeight="false" outlineLevel="0" collapsed="false">
      <c r="A13" s="5" t="s">
        <v>47</v>
      </c>
      <c r="B13" s="5" t="s">
        <v>48</v>
      </c>
      <c r="C13" s="6" t="n">
        <v>60</v>
      </c>
      <c r="D13" s="5" t="s">
        <v>22</v>
      </c>
      <c r="E13" s="5" t="s">
        <v>49</v>
      </c>
    </row>
    <row r="14" customFormat="false" ht="15" hidden="false" customHeight="false" outlineLevel="0" collapsed="false">
      <c r="A14" s="5" t="s">
        <v>50</v>
      </c>
      <c r="B14" s="5" t="s">
        <v>51</v>
      </c>
      <c r="C14" s="6" t="n">
        <v>800</v>
      </c>
      <c r="D14" s="5" t="s">
        <v>52</v>
      </c>
      <c r="E14" s="5"/>
    </row>
    <row r="15" customFormat="false" ht="15" hidden="false" customHeight="false" outlineLevel="0" collapsed="false">
      <c r="A15" s="5" t="s">
        <v>53</v>
      </c>
      <c r="B15" s="5" t="s">
        <v>54</v>
      </c>
      <c r="C15" s="6" t="n">
        <v>1000</v>
      </c>
      <c r="D15" s="5" t="s">
        <v>52</v>
      </c>
      <c r="E15" s="5"/>
    </row>
    <row r="16" customFormat="false" ht="15" hidden="false" customHeight="false" outlineLevel="0" collapsed="false">
      <c r="A16" s="5" t="s">
        <v>55</v>
      </c>
      <c r="B16" s="5" t="s">
        <v>56</v>
      </c>
      <c r="C16" s="6" t="n">
        <v>2000</v>
      </c>
      <c r="D16" s="5" t="s">
        <v>52</v>
      </c>
      <c r="E16" s="5"/>
    </row>
    <row r="17" customFormat="false" ht="15" hidden="false" customHeight="false" outlineLevel="0" collapsed="false">
      <c r="A17" s="5" t="s">
        <v>57</v>
      </c>
      <c r="B17" s="5" t="s">
        <v>58</v>
      </c>
      <c r="C17" s="6" t="n">
        <v>3000</v>
      </c>
      <c r="D17" s="5" t="s">
        <v>52</v>
      </c>
      <c r="E17" s="5"/>
    </row>
    <row r="19" customFormat="false" ht="15" hidden="false" customHeight="false" outlineLevel="0" collapsed="false">
      <c r="A19" s="2" t="s">
        <v>59</v>
      </c>
    </row>
    <row r="20" customFormat="false" ht="15" hidden="false" customHeight="false" outlineLevel="0" collapsed="false">
      <c r="A20" s="0" t="s">
        <v>60</v>
      </c>
      <c r="B20" s="6" t="n">
        <v>1</v>
      </c>
      <c r="C20" s="6" t="n">
        <v>3</v>
      </c>
      <c r="D20" s="6" t="n">
        <v>4</v>
      </c>
      <c r="E20" s="6" t="n">
        <v>2</v>
      </c>
      <c r="F20" s="6"/>
      <c r="G20" s="6"/>
      <c r="H20" s="6"/>
      <c r="I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4" t="s">
        <v>61</v>
      </c>
      <c r="B1" s="4" t="s">
        <v>62</v>
      </c>
      <c r="C1" s="4" t="s">
        <v>63</v>
      </c>
      <c r="D1" s="4" t="s">
        <v>64</v>
      </c>
      <c r="E1" s="4" t="s">
        <v>11</v>
      </c>
      <c r="F1" s="4" t="s">
        <v>65</v>
      </c>
    </row>
    <row r="2" customFormat="false" ht="15" hidden="false" customHeight="false" outlineLevel="0" collapsed="false">
      <c r="A2" s="5" t="s">
        <v>66</v>
      </c>
      <c r="B2" s="5" t="s">
        <v>67</v>
      </c>
      <c r="C2" s="5" t="s">
        <v>68</v>
      </c>
      <c r="D2" s="7" t="n">
        <f aca="false">Datos!$C$4/2</f>
        <v>2</v>
      </c>
      <c r="E2" s="5" t="s">
        <v>22</v>
      </c>
      <c r="F2" s="5"/>
    </row>
    <row r="3" customFormat="false" ht="15" hidden="false" customHeight="false" outlineLevel="0" collapsed="false">
      <c r="A3" s="5" t="s">
        <v>69</v>
      </c>
      <c r="B3" s="5" t="s">
        <v>70</v>
      </c>
      <c r="C3" s="5" t="s">
        <v>71</v>
      </c>
      <c r="D3" s="7" t="n">
        <f aca="false">60000/Datos!$C$17</f>
        <v>20</v>
      </c>
      <c r="E3" s="5" t="s">
        <v>25</v>
      </c>
      <c r="F3" s="5"/>
    </row>
    <row r="4" customFormat="false" ht="15" hidden="false" customHeight="false" outlineLevel="0" collapsed="false">
      <c r="A4" s="5" t="s">
        <v>72</v>
      </c>
      <c r="B4" s="5" t="s">
        <v>73</v>
      </c>
      <c r="C4" s="5" t="s">
        <v>74</v>
      </c>
      <c r="D4" s="7" t="n">
        <f aca="false">120000/(Datos!$C$17*Datos!$C$4)</f>
        <v>10</v>
      </c>
      <c r="E4" s="5" t="s">
        <v>25</v>
      </c>
      <c r="F4" s="5"/>
    </row>
    <row r="5" customFormat="false" ht="15" hidden="false" customHeight="false" outlineLevel="0" collapsed="false">
      <c r="A5" s="5" t="s">
        <v>75</v>
      </c>
      <c r="B5" s="5" t="s">
        <v>76</v>
      </c>
      <c r="C5" s="5" t="s">
        <v>77</v>
      </c>
      <c r="D5" s="7" t="n">
        <f aca="false">Datos!$C$5/D3*100</f>
        <v>20</v>
      </c>
      <c r="E5" s="5" t="s">
        <v>78</v>
      </c>
      <c r="F5" s="5"/>
    </row>
    <row r="6" customFormat="false" ht="15" hidden="false" customHeight="false" outlineLevel="0" collapsed="false">
      <c r="A6" s="5" t="s">
        <v>79</v>
      </c>
      <c r="B6" s="5" t="s">
        <v>80</v>
      </c>
      <c r="C6" s="5" t="s">
        <v>81</v>
      </c>
      <c r="D6" s="7" t="n">
        <f aca="false">Datos!$C$2/Datos!$C$3</f>
        <v>24</v>
      </c>
      <c r="E6" s="5" t="s">
        <v>82</v>
      </c>
      <c r="F6" s="5" t="s">
        <v>83</v>
      </c>
    </row>
    <row r="7" customFormat="false" ht="15" hidden="false" customHeight="false" outlineLevel="0" collapsed="false">
      <c r="A7" s="5" t="s">
        <v>84</v>
      </c>
      <c r="B7" s="5" t="s">
        <v>85</v>
      </c>
      <c r="C7" s="5" t="s">
        <v>86</v>
      </c>
      <c r="D7" s="7" t="n">
        <f aca="false">Datos!$C$6+Datos!$C$7</f>
        <v>12</v>
      </c>
      <c r="E7" s="5" t="s">
        <v>29</v>
      </c>
      <c r="F7" s="5"/>
    </row>
    <row r="8" customFormat="false" ht="15" hidden="false" customHeight="false" outlineLevel="0" collapsed="false">
      <c r="A8" s="5" t="s">
        <v>87</v>
      </c>
      <c r="B8" s="5" t="s">
        <v>88</v>
      </c>
      <c r="C8" s="5" t="s">
        <v>89</v>
      </c>
      <c r="D8" s="7" t="n">
        <f aca="false">Datos!$C$8-D7</f>
        <v>18</v>
      </c>
      <c r="E8" s="5" t="s">
        <v>29</v>
      </c>
      <c r="F8" s="5"/>
    </row>
    <row r="9" customFormat="false" ht="15" hidden="false" customHeight="false" outlineLevel="0" collapsed="false">
      <c r="A9" s="5" t="s">
        <v>90</v>
      </c>
      <c r="B9" s="5" t="s">
        <v>91</v>
      </c>
      <c r="C9" s="5" t="s">
        <v>92</v>
      </c>
      <c r="D9" s="7" t="n">
        <f aca="false">Datos!$C$9+Datos!$C$10+Datos!$C$11</f>
        <v>23.7</v>
      </c>
      <c r="E9" s="5" t="s">
        <v>38</v>
      </c>
      <c r="F9" s="5"/>
    </row>
    <row r="10" customFormat="false" ht="15" hidden="false" customHeight="false" outlineLevel="0" collapsed="false">
      <c r="A10" s="5" t="s">
        <v>90</v>
      </c>
      <c r="B10" s="5" t="s">
        <v>93</v>
      </c>
      <c r="C10" s="5" t="s">
        <v>94</v>
      </c>
      <c r="D10" s="7" t="n">
        <f aca="false">Datos!$C$12-D9</f>
        <v>0.799999999999997</v>
      </c>
      <c r="E10" s="5" t="s">
        <v>38</v>
      </c>
      <c r="F10" s="5" t="s">
        <v>95</v>
      </c>
    </row>
    <row r="11" customFormat="false" ht="15" hidden="false" customHeight="false" outlineLevel="0" collapsed="false">
      <c r="A11" s="5" t="s">
        <v>96</v>
      </c>
      <c r="B11" s="5" t="s">
        <v>97</v>
      </c>
      <c r="C11" s="5" t="s">
        <v>98</v>
      </c>
      <c r="D11" s="7" t="n">
        <f aca="false">Datos!$C$14*Datos!$C$13/60</f>
        <v>800</v>
      </c>
      <c r="E11" s="5" t="s">
        <v>99</v>
      </c>
      <c r="F11" s="5" t="s">
        <v>100</v>
      </c>
    </row>
    <row r="12" customFormat="false" ht="15" hidden="false" customHeight="false" outlineLevel="0" collapsed="false">
      <c r="A12" s="5" t="s">
        <v>101</v>
      </c>
      <c r="B12" s="5" t="s">
        <v>102</v>
      </c>
      <c r="C12" s="5" t="s">
        <v>103</v>
      </c>
      <c r="D12" s="7" t="n">
        <f aca="false">360/Datos!$C$13</f>
        <v>6</v>
      </c>
      <c r="E12" s="5" t="s">
        <v>104</v>
      </c>
      <c r="F12" s="5"/>
    </row>
    <row r="13" customFormat="false" ht="15" hidden="false" customHeight="false" outlineLevel="0" collapsed="false">
      <c r="A13" s="5" t="s">
        <v>105</v>
      </c>
      <c r="B13" s="5" t="s">
        <v>106</v>
      </c>
      <c r="C13" s="5" t="s">
        <v>107</v>
      </c>
      <c r="D13" s="7" t="n">
        <f aca="false">60000/(Datos!$C$14*Datos!$C$13)</f>
        <v>1.25</v>
      </c>
      <c r="E13" s="5" t="s">
        <v>25</v>
      </c>
      <c r="F13" s="5"/>
    </row>
    <row r="14" customFormat="false" ht="15" hidden="false" customHeight="false" outlineLevel="0" collapsed="false">
      <c r="A14" s="5" t="s">
        <v>105</v>
      </c>
      <c r="B14" s="5" t="s">
        <v>108</v>
      </c>
      <c r="C14" s="5" t="s">
        <v>109</v>
      </c>
      <c r="D14" s="7" t="n">
        <f aca="false">3*D13</f>
        <v>3.75</v>
      </c>
      <c r="E14" s="5" t="s">
        <v>25</v>
      </c>
      <c r="F14" s="5"/>
    </row>
    <row r="17" customFormat="false" ht="15" hidden="false" customHeight="false" outlineLevel="0" collapsed="false">
      <c r="A17" s="2" t="s">
        <v>110</v>
      </c>
    </row>
    <row r="18" customFormat="false" ht="15" hidden="false" customHeight="false" outlineLevel="0" collapsed="false">
      <c r="A18" s="4" t="s">
        <v>111</v>
      </c>
      <c r="B18" s="4" t="s">
        <v>112</v>
      </c>
      <c r="C18" s="4" t="s">
        <v>113</v>
      </c>
    </row>
    <row r="19" customFormat="false" ht="15" hidden="false" customHeight="false" outlineLevel="0" collapsed="false">
      <c r="A19" s="5" t="n">
        <f aca="false">IF(1&lt;=Datos!$C$4/2,1,"")</f>
        <v>1</v>
      </c>
      <c r="B19" s="5" t="n">
        <f aca="false">IF(1&lt;=Datos!$C$4/2,INDEX(Datos!$B$20:$I$20,1,1),"")</f>
        <v>1</v>
      </c>
      <c r="C19" s="5" t="n">
        <f aca="false">IF(1&lt;=Datos!$C$4/2,INDEX(Datos!$B$20:$I$20,1,1+Datos!$C$4/2),"")</f>
        <v>4</v>
      </c>
    </row>
    <row r="20" customFormat="false" ht="15" hidden="false" customHeight="false" outlineLevel="0" collapsed="false">
      <c r="A20" s="5" t="n">
        <f aca="false">IF(2&lt;=Datos!$C$4/2,2,"")</f>
        <v>2</v>
      </c>
      <c r="B20" s="5" t="n">
        <f aca="false">IF(2&lt;=Datos!$C$4/2,INDEX(Datos!$B$20:$I$20,1,2),"")</f>
        <v>3</v>
      </c>
      <c r="C20" s="5" t="n">
        <f aca="false">IF(2&lt;=Datos!$C$4/2,INDEX(Datos!$B$20:$I$20,1,2+Datos!$C$4/2),"")</f>
        <v>2</v>
      </c>
    </row>
    <row r="21" customFormat="false" ht="15" hidden="false" customHeight="false" outlineLevel="0" collapsed="false">
      <c r="A21" s="5" t="str">
        <f aca="false">IF(3&lt;=Datos!$C$4/2,3,"")</f>
        <v/>
      </c>
      <c r="B21" s="5" t="str">
        <f aca="false">IF(3&lt;=Datos!$C$4/2,INDEX(Datos!$B$20:$I$20,1,3),"")</f>
        <v/>
      </c>
      <c r="C21" s="5" t="str">
        <f aca="false">IF(3&lt;=Datos!$C$4/2,INDEX(Datos!$B$20:$I$20,1,3+Datos!$C$4/2),"")</f>
        <v/>
      </c>
    </row>
    <row r="22" customFormat="false" ht="15" hidden="false" customHeight="false" outlineLevel="0" collapsed="false">
      <c r="A22" s="5" t="str">
        <f aca="false">IF(4&lt;=Datos!$C$4/2,4,"")</f>
        <v/>
      </c>
      <c r="B22" s="5" t="str">
        <f aca="false">IF(4&lt;=Datos!$C$4/2,INDEX(Datos!$B$20:$I$20,1,4),"")</f>
        <v/>
      </c>
      <c r="C22" s="5" t="str">
        <f aca="false">IF(4&lt;=Datos!$C$4/2,INDEX(Datos!$B$20:$I$20,1,4+Datos!$C$4/2),"")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64.9" hidden="false" customHeight="false" outlineLevel="0" collapsed="false">
      <c r="A1" s="4" t="s">
        <v>114</v>
      </c>
      <c r="B1" s="4" t="s">
        <v>115</v>
      </c>
      <c r="C1" s="4" t="s">
        <v>116</v>
      </c>
      <c r="D1" s="4" t="s">
        <v>117</v>
      </c>
      <c r="E1" s="4" t="s">
        <v>118</v>
      </c>
    </row>
    <row r="2" customFormat="false" ht="15" hidden="false" customHeight="false" outlineLevel="0" collapsed="false">
      <c r="A2" s="0" t="n">
        <v>500</v>
      </c>
      <c r="B2" s="8" t="n">
        <f aca="false">60000/A2</f>
        <v>120</v>
      </c>
      <c r="C2" s="8" t="n">
        <f aca="false">120000/(A2*Datos!$C$4)</f>
        <v>60</v>
      </c>
      <c r="D2" s="9" t="n">
        <f aca="false">MIN(100,Datos!$C$5/B2*100)</f>
        <v>3.33333333333333</v>
      </c>
      <c r="E2" s="9" t="n">
        <f aca="false">MIN(100,Datos!$C$5/C2*100)</f>
        <v>6.66666666666667</v>
      </c>
    </row>
    <row r="3" customFormat="false" ht="15" hidden="false" customHeight="false" outlineLevel="0" collapsed="false">
      <c r="A3" s="0" t="n">
        <v>750</v>
      </c>
      <c r="B3" s="8" t="n">
        <f aca="false">60000/A3</f>
        <v>80</v>
      </c>
      <c r="C3" s="8" t="n">
        <f aca="false">120000/(A3*Datos!$C$4)</f>
        <v>40</v>
      </c>
      <c r="D3" s="9" t="n">
        <f aca="false">MIN(100,Datos!$C$5/B3*100)</f>
        <v>5</v>
      </c>
      <c r="E3" s="9" t="n">
        <f aca="false">MIN(100,Datos!$C$5/C3*100)</f>
        <v>10</v>
      </c>
    </row>
    <row r="4" customFormat="false" ht="15" hidden="false" customHeight="false" outlineLevel="0" collapsed="false">
      <c r="A4" s="0" t="n">
        <v>1000</v>
      </c>
      <c r="B4" s="8" t="n">
        <f aca="false">60000/A4</f>
        <v>60</v>
      </c>
      <c r="C4" s="8" t="n">
        <f aca="false">120000/(A4*Datos!$C$4)</f>
        <v>30</v>
      </c>
      <c r="D4" s="9" t="n">
        <f aca="false">MIN(100,Datos!$C$5/B4*100)</f>
        <v>6.66666666666667</v>
      </c>
      <c r="E4" s="9" t="n">
        <f aca="false">MIN(100,Datos!$C$5/C4*100)</f>
        <v>13.3333333333333</v>
      </c>
    </row>
    <row r="5" customFormat="false" ht="15" hidden="false" customHeight="false" outlineLevel="0" collapsed="false">
      <c r="A5" s="0" t="n">
        <v>1250</v>
      </c>
      <c r="B5" s="8" t="n">
        <f aca="false">60000/A5</f>
        <v>48</v>
      </c>
      <c r="C5" s="8" t="n">
        <f aca="false">120000/(A5*Datos!$C$4)</f>
        <v>24</v>
      </c>
      <c r="D5" s="9" t="n">
        <f aca="false">MIN(100,Datos!$C$5/B5*100)</f>
        <v>8.33333333333333</v>
      </c>
      <c r="E5" s="9" t="n">
        <f aca="false">MIN(100,Datos!$C$5/C5*100)</f>
        <v>16.6666666666667</v>
      </c>
    </row>
    <row r="6" customFormat="false" ht="15" hidden="false" customHeight="false" outlineLevel="0" collapsed="false">
      <c r="A6" s="0" t="n">
        <v>1500</v>
      </c>
      <c r="B6" s="8" t="n">
        <f aca="false">60000/A6</f>
        <v>40</v>
      </c>
      <c r="C6" s="8" t="n">
        <f aca="false">120000/(A6*Datos!$C$4)</f>
        <v>20</v>
      </c>
      <c r="D6" s="9" t="n">
        <f aca="false">MIN(100,Datos!$C$5/B6*100)</f>
        <v>10</v>
      </c>
      <c r="E6" s="9" t="n">
        <f aca="false">MIN(100,Datos!$C$5/C6*100)</f>
        <v>20</v>
      </c>
    </row>
    <row r="7" customFormat="false" ht="15" hidden="false" customHeight="false" outlineLevel="0" collapsed="false">
      <c r="A7" s="0" t="n">
        <v>1750</v>
      </c>
      <c r="B7" s="8" t="n">
        <f aca="false">60000/A7</f>
        <v>34.2857142857143</v>
      </c>
      <c r="C7" s="8" t="n">
        <f aca="false">120000/(A7*Datos!$C$4)</f>
        <v>17.1428571428571</v>
      </c>
      <c r="D7" s="9" t="n">
        <f aca="false">MIN(100,Datos!$C$5/B7*100)</f>
        <v>11.6666666666667</v>
      </c>
      <c r="E7" s="9" t="n">
        <f aca="false">MIN(100,Datos!$C$5/C7*100)</f>
        <v>23.3333333333333</v>
      </c>
    </row>
    <row r="8" customFormat="false" ht="15" hidden="false" customHeight="false" outlineLevel="0" collapsed="false">
      <c r="A8" s="0" t="n">
        <v>2000</v>
      </c>
      <c r="B8" s="8" t="n">
        <f aca="false">60000/A8</f>
        <v>30</v>
      </c>
      <c r="C8" s="8" t="n">
        <f aca="false">120000/(A8*Datos!$C$4)</f>
        <v>15</v>
      </c>
      <c r="D8" s="9" t="n">
        <f aca="false">MIN(100,Datos!$C$5/B8*100)</f>
        <v>13.3333333333333</v>
      </c>
      <c r="E8" s="9" t="n">
        <f aca="false">MIN(100,Datos!$C$5/C8*100)</f>
        <v>26.6666666666667</v>
      </c>
    </row>
    <row r="9" customFormat="false" ht="15" hidden="false" customHeight="false" outlineLevel="0" collapsed="false">
      <c r="A9" s="0" t="n">
        <v>2250</v>
      </c>
      <c r="B9" s="8" t="n">
        <f aca="false">60000/A9</f>
        <v>26.6666666666667</v>
      </c>
      <c r="C9" s="8" t="n">
        <f aca="false">120000/(A9*Datos!$C$4)</f>
        <v>13.3333333333333</v>
      </c>
      <c r="D9" s="9" t="n">
        <f aca="false">MIN(100,Datos!$C$5/B9*100)</f>
        <v>15</v>
      </c>
      <c r="E9" s="9" t="n">
        <f aca="false">MIN(100,Datos!$C$5/C9*100)</f>
        <v>30</v>
      </c>
    </row>
    <row r="10" customFormat="false" ht="15" hidden="false" customHeight="false" outlineLevel="0" collapsed="false">
      <c r="A10" s="0" t="n">
        <v>2500</v>
      </c>
      <c r="B10" s="8" t="n">
        <f aca="false">60000/A10</f>
        <v>24</v>
      </c>
      <c r="C10" s="8" t="n">
        <f aca="false">120000/(A10*Datos!$C$4)</f>
        <v>12</v>
      </c>
      <c r="D10" s="9" t="n">
        <f aca="false">MIN(100,Datos!$C$5/B10*100)</f>
        <v>16.6666666666667</v>
      </c>
      <c r="E10" s="9" t="n">
        <f aca="false">MIN(100,Datos!$C$5/C10*100)</f>
        <v>33.3333333333333</v>
      </c>
    </row>
    <row r="11" customFormat="false" ht="15" hidden="false" customHeight="false" outlineLevel="0" collapsed="false">
      <c r="A11" s="0" t="n">
        <v>2750</v>
      </c>
      <c r="B11" s="8" t="n">
        <f aca="false">60000/A11</f>
        <v>21.8181818181818</v>
      </c>
      <c r="C11" s="8" t="n">
        <f aca="false">120000/(A11*Datos!$C$4)</f>
        <v>10.9090909090909</v>
      </c>
      <c r="D11" s="9" t="n">
        <f aca="false">MIN(100,Datos!$C$5/B11*100)</f>
        <v>18.3333333333333</v>
      </c>
      <c r="E11" s="9" t="n">
        <f aca="false">MIN(100,Datos!$C$5/C11*100)</f>
        <v>36.6666666666667</v>
      </c>
    </row>
    <row r="12" customFormat="false" ht="15" hidden="false" customHeight="false" outlineLevel="0" collapsed="false">
      <c r="A12" s="0" t="n">
        <v>3000</v>
      </c>
      <c r="B12" s="8" t="n">
        <f aca="false">60000/A12</f>
        <v>20</v>
      </c>
      <c r="C12" s="8" t="n">
        <f aca="false">120000/(A12*Datos!$C$4)</f>
        <v>10</v>
      </c>
      <c r="D12" s="9" t="n">
        <f aca="false">MIN(100,Datos!$C$5/B12*100)</f>
        <v>20</v>
      </c>
      <c r="E12" s="9" t="n">
        <f aca="false">MIN(100,Datos!$C$5/C12*100)</f>
        <v>40</v>
      </c>
    </row>
    <row r="13" customFormat="false" ht="15" hidden="false" customHeight="false" outlineLevel="0" collapsed="false">
      <c r="A13" s="0" t="n">
        <v>3250</v>
      </c>
      <c r="B13" s="8" t="n">
        <f aca="false">60000/A13</f>
        <v>18.4615384615385</v>
      </c>
      <c r="C13" s="8" t="n">
        <f aca="false">120000/(A13*Datos!$C$4)</f>
        <v>9.23076923076923</v>
      </c>
      <c r="D13" s="9" t="n">
        <f aca="false">MIN(100,Datos!$C$5/B13*100)</f>
        <v>21.6666666666667</v>
      </c>
      <c r="E13" s="9" t="n">
        <f aca="false">MIN(100,Datos!$C$5/C13*100)</f>
        <v>43.3333333333333</v>
      </c>
    </row>
    <row r="14" customFormat="false" ht="15" hidden="false" customHeight="false" outlineLevel="0" collapsed="false">
      <c r="A14" s="0" t="n">
        <v>3500</v>
      </c>
      <c r="B14" s="8" t="n">
        <f aca="false">60000/A14</f>
        <v>17.1428571428571</v>
      </c>
      <c r="C14" s="8" t="n">
        <f aca="false">120000/(A14*Datos!$C$4)</f>
        <v>8.57142857142857</v>
      </c>
      <c r="D14" s="9" t="n">
        <f aca="false">MIN(100,Datos!$C$5/B14*100)</f>
        <v>23.3333333333333</v>
      </c>
      <c r="E14" s="9" t="n">
        <f aca="false">MIN(100,Datos!$C$5/C14*100)</f>
        <v>46.6666666666667</v>
      </c>
    </row>
    <row r="15" customFormat="false" ht="15" hidden="false" customHeight="false" outlineLevel="0" collapsed="false">
      <c r="A15" s="0" t="n">
        <v>3750</v>
      </c>
      <c r="B15" s="8" t="n">
        <f aca="false">60000/A15</f>
        <v>16</v>
      </c>
      <c r="C15" s="8" t="n">
        <f aca="false">120000/(A15*Datos!$C$4)</f>
        <v>8</v>
      </c>
      <c r="D15" s="9" t="n">
        <f aca="false">MIN(100,Datos!$C$5/B15*100)</f>
        <v>25</v>
      </c>
      <c r="E15" s="9" t="n">
        <f aca="false">MIN(100,Datos!$C$5/C15*100)</f>
        <v>50</v>
      </c>
    </row>
    <row r="16" customFormat="false" ht="15" hidden="false" customHeight="false" outlineLevel="0" collapsed="false">
      <c r="A16" s="0" t="n">
        <v>4000</v>
      </c>
      <c r="B16" s="8" t="n">
        <f aca="false">60000/A16</f>
        <v>15</v>
      </c>
      <c r="C16" s="8" t="n">
        <f aca="false">120000/(A16*Datos!$C$4)</f>
        <v>7.5</v>
      </c>
      <c r="D16" s="9" t="n">
        <f aca="false">MIN(100,Datos!$C$5/B16*100)</f>
        <v>26.6666666666667</v>
      </c>
      <c r="E16" s="9" t="n">
        <f aca="false">MIN(100,Datos!$C$5/C16*100)</f>
        <v>53.3333333333333</v>
      </c>
    </row>
    <row r="17" customFormat="false" ht="15" hidden="false" customHeight="false" outlineLevel="0" collapsed="false">
      <c r="A17" s="0" t="n">
        <v>4250</v>
      </c>
      <c r="B17" s="8" t="n">
        <f aca="false">60000/A17</f>
        <v>14.1176470588235</v>
      </c>
      <c r="C17" s="8" t="n">
        <f aca="false">120000/(A17*Datos!$C$4)</f>
        <v>7.05882352941176</v>
      </c>
      <c r="D17" s="9" t="n">
        <f aca="false">MIN(100,Datos!$C$5/B17*100)</f>
        <v>28.3333333333333</v>
      </c>
      <c r="E17" s="9" t="n">
        <f aca="false">MIN(100,Datos!$C$5/C17*100)</f>
        <v>56.6666666666667</v>
      </c>
    </row>
    <row r="18" customFormat="false" ht="15" hidden="false" customHeight="false" outlineLevel="0" collapsed="false">
      <c r="A18" s="0" t="n">
        <v>4500</v>
      </c>
      <c r="B18" s="8" t="n">
        <f aca="false">60000/A18</f>
        <v>13.3333333333333</v>
      </c>
      <c r="C18" s="8" t="n">
        <f aca="false">120000/(A18*Datos!$C$4)</f>
        <v>6.66666666666667</v>
      </c>
      <c r="D18" s="9" t="n">
        <f aca="false">MIN(100,Datos!$C$5/B18*100)</f>
        <v>30</v>
      </c>
      <c r="E18" s="9" t="n">
        <f aca="false">MIN(100,Datos!$C$5/C18*100)</f>
        <v>60</v>
      </c>
    </row>
    <row r="19" customFormat="false" ht="15" hidden="false" customHeight="false" outlineLevel="0" collapsed="false">
      <c r="A19" s="0" t="n">
        <v>4750</v>
      </c>
      <c r="B19" s="8" t="n">
        <f aca="false">60000/A19</f>
        <v>12.6315789473684</v>
      </c>
      <c r="C19" s="8" t="n">
        <f aca="false">120000/(A19*Datos!$C$4)</f>
        <v>6.31578947368421</v>
      </c>
      <c r="D19" s="9" t="n">
        <f aca="false">MIN(100,Datos!$C$5/B19*100)</f>
        <v>31.6666666666667</v>
      </c>
      <c r="E19" s="9" t="n">
        <f aca="false">MIN(100,Datos!$C$5/C19*100)</f>
        <v>63.3333333333333</v>
      </c>
    </row>
    <row r="20" customFormat="false" ht="15" hidden="false" customHeight="false" outlineLevel="0" collapsed="false">
      <c r="A20" s="0" t="n">
        <v>5000</v>
      </c>
      <c r="B20" s="8" t="n">
        <f aca="false">60000/A20</f>
        <v>12</v>
      </c>
      <c r="C20" s="8" t="n">
        <f aca="false">120000/(A20*Datos!$C$4)</f>
        <v>6</v>
      </c>
      <c r="D20" s="9" t="n">
        <f aca="false">MIN(100,Datos!$C$5/B20*100)</f>
        <v>33.3333333333333</v>
      </c>
      <c r="E20" s="9" t="n">
        <f aca="false">MIN(100,Datos!$C$5/C20*100)</f>
        <v>66.6666666666667</v>
      </c>
    </row>
    <row r="21" customFormat="false" ht="15" hidden="false" customHeight="false" outlineLevel="0" collapsed="false">
      <c r="A21" s="0" t="n">
        <v>5250</v>
      </c>
      <c r="B21" s="8" t="n">
        <f aca="false">60000/A21</f>
        <v>11.4285714285714</v>
      </c>
      <c r="C21" s="8" t="n">
        <f aca="false">120000/(A21*Datos!$C$4)</f>
        <v>5.71428571428571</v>
      </c>
      <c r="D21" s="9" t="n">
        <f aca="false">MIN(100,Datos!$C$5/B21*100)</f>
        <v>35</v>
      </c>
      <c r="E21" s="9" t="n">
        <f aca="false">MIN(100,Datos!$C$5/C21*100)</f>
        <v>70</v>
      </c>
    </row>
    <row r="22" customFormat="false" ht="15" hidden="false" customHeight="false" outlineLevel="0" collapsed="false">
      <c r="A22" s="0" t="n">
        <v>5500</v>
      </c>
      <c r="B22" s="8" t="n">
        <f aca="false">60000/A22</f>
        <v>10.9090909090909</v>
      </c>
      <c r="C22" s="8" t="n">
        <f aca="false">120000/(A22*Datos!$C$4)</f>
        <v>5.45454545454545</v>
      </c>
      <c r="D22" s="9" t="n">
        <f aca="false">MIN(100,Datos!$C$5/B22*100)</f>
        <v>36.6666666666667</v>
      </c>
      <c r="E22" s="9" t="n">
        <f aca="false">MIN(100,Datos!$C$5/C22*100)</f>
        <v>73.3333333333333</v>
      </c>
    </row>
    <row r="23" customFormat="false" ht="15" hidden="false" customHeight="false" outlineLevel="0" collapsed="false">
      <c r="A23" s="0" t="n">
        <v>5750</v>
      </c>
      <c r="B23" s="8" t="n">
        <f aca="false">60000/A23</f>
        <v>10.4347826086957</v>
      </c>
      <c r="C23" s="8" t="n">
        <f aca="false">120000/(A23*Datos!$C$4)</f>
        <v>5.21739130434783</v>
      </c>
      <c r="D23" s="9" t="n">
        <f aca="false">MIN(100,Datos!$C$5/B23*100)</f>
        <v>38.3333333333333</v>
      </c>
      <c r="E23" s="9" t="n">
        <f aca="false">MIN(100,Datos!$C$5/C23*100)</f>
        <v>76.6666666666667</v>
      </c>
    </row>
    <row r="24" customFormat="false" ht="15" hidden="false" customHeight="false" outlineLevel="0" collapsed="false">
      <c r="A24" s="0" t="n">
        <v>6000</v>
      </c>
      <c r="B24" s="8" t="n">
        <f aca="false">60000/A24</f>
        <v>10</v>
      </c>
      <c r="C24" s="8" t="n">
        <f aca="false">120000/(A24*Datos!$C$4)</f>
        <v>5</v>
      </c>
      <c r="D24" s="9" t="n">
        <f aca="false">MIN(100,Datos!$C$5/B24*100)</f>
        <v>40</v>
      </c>
      <c r="E24" s="9" t="n">
        <f aca="false">MIN(100,Datos!$C$5/C24*100)</f>
        <v>80</v>
      </c>
    </row>
    <row r="25" customFormat="false" ht="15" hidden="false" customHeight="false" outlineLevel="0" collapsed="false">
      <c r="A25" s="0" t="n">
        <v>6250</v>
      </c>
      <c r="B25" s="8" t="n">
        <f aca="false">60000/A25</f>
        <v>9.6</v>
      </c>
      <c r="C25" s="8" t="n">
        <f aca="false">120000/(A25*Datos!$C$4)</f>
        <v>4.8</v>
      </c>
      <c r="D25" s="9" t="n">
        <f aca="false">MIN(100,Datos!$C$5/B25*100)</f>
        <v>41.6666666666667</v>
      </c>
      <c r="E25" s="9" t="n">
        <f aca="false">MIN(100,Datos!$C$5/C25*100)</f>
        <v>83.3333333333333</v>
      </c>
    </row>
    <row r="26" customFormat="false" ht="15" hidden="false" customHeight="false" outlineLevel="0" collapsed="false">
      <c r="A26" s="0" t="n">
        <v>6500</v>
      </c>
      <c r="B26" s="8" t="n">
        <f aca="false">60000/A26</f>
        <v>9.23076923076923</v>
      </c>
      <c r="C26" s="8" t="n">
        <f aca="false">120000/(A26*Datos!$C$4)</f>
        <v>4.61538461538462</v>
      </c>
      <c r="D26" s="9" t="n">
        <f aca="false">MIN(100,Datos!$C$5/B26*100)</f>
        <v>43.3333333333333</v>
      </c>
      <c r="E26" s="9" t="n">
        <f aca="false">MIN(100,Datos!$C$5/C26*100)</f>
        <v>86.6666666666667</v>
      </c>
    </row>
    <row r="27" customFormat="false" ht="15" hidden="false" customHeight="false" outlineLevel="0" collapsed="false">
      <c r="A27" s="0" t="n">
        <v>6750</v>
      </c>
      <c r="B27" s="8" t="n">
        <f aca="false">60000/A27</f>
        <v>8.88888888888889</v>
      </c>
      <c r="C27" s="8" t="n">
        <f aca="false">120000/(A27*Datos!$C$4)</f>
        <v>4.44444444444445</v>
      </c>
      <c r="D27" s="9" t="n">
        <f aca="false">MIN(100,Datos!$C$5/B27*100)</f>
        <v>45</v>
      </c>
      <c r="E27" s="9" t="n">
        <f aca="false">MIN(100,Datos!$C$5/C27*100)</f>
        <v>90</v>
      </c>
    </row>
    <row r="28" customFormat="false" ht="15" hidden="false" customHeight="false" outlineLevel="0" collapsed="false">
      <c r="A28" s="0" t="n">
        <v>7000</v>
      </c>
      <c r="B28" s="8" t="n">
        <f aca="false">60000/A28</f>
        <v>8.57142857142857</v>
      </c>
      <c r="C28" s="8" t="n">
        <f aca="false">120000/(A28*Datos!$C$4)</f>
        <v>4.28571428571429</v>
      </c>
      <c r="D28" s="9" t="n">
        <f aca="false">MIN(100,Datos!$C$5/B28*100)</f>
        <v>46.6666666666667</v>
      </c>
      <c r="E28" s="9" t="n">
        <f aca="false">MIN(100,Datos!$C$5/C28*100)</f>
        <v>93.3333333333333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4" t="s">
        <v>114</v>
      </c>
      <c r="B1" s="4" t="s">
        <v>119</v>
      </c>
      <c r="C1" s="4" t="s">
        <v>120</v>
      </c>
    </row>
    <row r="2" customFormat="false" ht="15" hidden="false" customHeight="false" outlineLevel="0" collapsed="false">
      <c r="A2" s="0" t="n">
        <v>500</v>
      </c>
      <c r="B2" s="10" t="n">
        <f aca="false">A2*Datos!$C$13/60</f>
        <v>500</v>
      </c>
      <c r="C2" s="11" t="n">
        <f aca="false">60000/(A2*Datos!$C$13)</f>
        <v>2</v>
      </c>
    </row>
    <row r="3" customFormat="false" ht="15" hidden="false" customHeight="false" outlineLevel="0" collapsed="false">
      <c r="A3" s="0" t="n">
        <v>750</v>
      </c>
      <c r="B3" s="10" t="n">
        <f aca="false">A3*Datos!$C$13/60</f>
        <v>750</v>
      </c>
      <c r="C3" s="11" t="n">
        <f aca="false">60000/(A3*Datos!$C$13)</f>
        <v>1.33333333333333</v>
      </c>
    </row>
    <row r="4" customFormat="false" ht="15" hidden="false" customHeight="false" outlineLevel="0" collapsed="false">
      <c r="A4" s="0" t="n">
        <v>1000</v>
      </c>
      <c r="B4" s="10" t="n">
        <f aca="false">A4*Datos!$C$13/60</f>
        <v>1000</v>
      </c>
      <c r="C4" s="11" t="n">
        <f aca="false">60000/(A4*Datos!$C$13)</f>
        <v>1</v>
      </c>
    </row>
    <row r="5" customFormat="false" ht="15" hidden="false" customHeight="false" outlineLevel="0" collapsed="false">
      <c r="A5" s="0" t="n">
        <v>1250</v>
      </c>
      <c r="B5" s="10" t="n">
        <f aca="false">A5*Datos!$C$13/60</f>
        <v>1250</v>
      </c>
      <c r="C5" s="11" t="n">
        <f aca="false">60000/(A5*Datos!$C$13)</f>
        <v>0.8</v>
      </c>
    </row>
    <row r="6" customFormat="false" ht="15" hidden="false" customHeight="false" outlineLevel="0" collapsed="false">
      <c r="A6" s="0" t="n">
        <v>1500</v>
      </c>
      <c r="B6" s="10" t="n">
        <f aca="false">A6*Datos!$C$13/60</f>
        <v>1500</v>
      </c>
      <c r="C6" s="11" t="n">
        <f aca="false">60000/(A6*Datos!$C$13)</f>
        <v>0.666666666666667</v>
      </c>
    </row>
    <row r="7" customFormat="false" ht="15" hidden="false" customHeight="false" outlineLevel="0" collapsed="false">
      <c r="A7" s="0" t="n">
        <v>1750</v>
      </c>
      <c r="B7" s="10" t="n">
        <f aca="false">A7*Datos!$C$13/60</f>
        <v>1750</v>
      </c>
      <c r="C7" s="11" t="n">
        <f aca="false">60000/(A7*Datos!$C$13)</f>
        <v>0.571428571428571</v>
      </c>
    </row>
    <row r="8" customFormat="false" ht="15" hidden="false" customHeight="false" outlineLevel="0" collapsed="false">
      <c r="A8" s="0" t="n">
        <v>2000</v>
      </c>
      <c r="B8" s="10" t="n">
        <f aca="false">A8*Datos!$C$13/60</f>
        <v>2000</v>
      </c>
      <c r="C8" s="11" t="n">
        <f aca="false">60000/(A8*Datos!$C$13)</f>
        <v>0.5</v>
      </c>
    </row>
    <row r="9" customFormat="false" ht="15" hidden="false" customHeight="false" outlineLevel="0" collapsed="false">
      <c r="A9" s="0" t="n">
        <v>2250</v>
      </c>
      <c r="B9" s="10" t="n">
        <f aca="false">A9*Datos!$C$13/60</f>
        <v>2250</v>
      </c>
      <c r="C9" s="11" t="n">
        <f aca="false">60000/(A9*Datos!$C$13)</f>
        <v>0.444444444444444</v>
      </c>
    </row>
    <row r="10" customFormat="false" ht="15" hidden="false" customHeight="false" outlineLevel="0" collapsed="false">
      <c r="A10" s="0" t="n">
        <v>2500</v>
      </c>
      <c r="B10" s="10" t="n">
        <f aca="false">A10*Datos!$C$13/60</f>
        <v>2500</v>
      </c>
      <c r="C10" s="11" t="n">
        <f aca="false">60000/(A10*Datos!$C$13)</f>
        <v>0.4</v>
      </c>
    </row>
    <row r="11" customFormat="false" ht="15" hidden="false" customHeight="false" outlineLevel="0" collapsed="false">
      <c r="A11" s="0" t="n">
        <v>2750</v>
      </c>
      <c r="B11" s="10" t="n">
        <f aca="false">A11*Datos!$C$13/60</f>
        <v>2750</v>
      </c>
      <c r="C11" s="11" t="n">
        <f aca="false">60000/(A11*Datos!$C$13)</f>
        <v>0.363636363636364</v>
      </c>
    </row>
    <row r="12" customFormat="false" ht="15" hidden="false" customHeight="false" outlineLevel="0" collapsed="false">
      <c r="A12" s="0" t="n">
        <v>3000</v>
      </c>
      <c r="B12" s="10" t="n">
        <f aca="false">A12*Datos!$C$13/60</f>
        <v>3000</v>
      </c>
      <c r="C12" s="11" t="n">
        <f aca="false">60000/(A12*Datos!$C$13)</f>
        <v>0.333333333333333</v>
      </c>
    </row>
    <row r="13" customFormat="false" ht="15" hidden="false" customHeight="false" outlineLevel="0" collapsed="false">
      <c r="A13" s="0" t="n">
        <v>3250</v>
      </c>
      <c r="B13" s="10" t="n">
        <f aca="false">A13*Datos!$C$13/60</f>
        <v>3250</v>
      </c>
      <c r="C13" s="11" t="n">
        <f aca="false">60000/(A13*Datos!$C$13)</f>
        <v>0.307692307692308</v>
      </c>
    </row>
    <row r="14" customFormat="false" ht="15" hidden="false" customHeight="false" outlineLevel="0" collapsed="false">
      <c r="A14" s="0" t="n">
        <v>3500</v>
      </c>
      <c r="B14" s="10" t="n">
        <f aca="false">A14*Datos!$C$13/60</f>
        <v>3500</v>
      </c>
      <c r="C14" s="11" t="n">
        <f aca="false">60000/(A14*Datos!$C$13)</f>
        <v>0.285714285714286</v>
      </c>
    </row>
    <row r="15" customFormat="false" ht="15" hidden="false" customHeight="false" outlineLevel="0" collapsed="false">
      <c r="A15" s="0" t="n">
        <v>3750</v>
      </c>
      <c r="B15" s="10" t="n">
        <f aca="false">A15*Datos!$C$13/60</f>
        <v>3750</v>
      </c>
      <c r="C15" s="11" t="n">
        <f aca="false">60000/(A15*Datos!$C$13)</f>
        <v>0.266666666666667</v>
      </c>
    </row>
    <row r="16" customFormat="false" ht="15" hidden="false" customHeight="false" outlineLevel="0" collapsed="false">
      <c r="A16" s="0" t="n">
        <v>4000</v>
      </c>
      <c r="B16" s="10" t="n">
        <f aca="false">A16*Datos!$C$13/60</f>
        <v>4000</v>
      </c>
      <c r="C16" s="11" t="n">
        <f aca="false">60000/(A16*Datos!$C$13)</f>
        <v>0.25</v>
      </c>
    </row>
    <row r="17" customFormat="false" ht="15" hidden="false" customHeight="false" outlineLevel="0" collapsed="false">
      <c r="A17" s="0" t="n">
        <v>4250</v>
      </c>
      <c r="B17" s="10" t="n">
        <f aca="false">A17*Datos!$C$13/60</f>
        <v>4250</v>
      </c>
      <c r="C17" s="11" t="n">
        <f aca="false">60000/(A17*Datos!$C$13)</f>
        <v>0.235294117647059</v>
      </c>
    </row>
    <row r="18" customFormat="false" ht="15" hidden="false" customHeight="false" outlineLevel="0" collapsed="false">
      <c r="A18" s="0" t="n">
        <v>4500</v>
      </c>
      <c r="B18" s="10" t="n">
        <f aca="false">A18*Datos!$C$13/60</f>
        <v>4500</v>
      </c>
      <c r="C18" s="11" t="n">
        <f aca="false">60000/(A18*Datos!$C$13)</f>
        <v>0.222222222222222</v>
      </c>
    </row>
    <row r="19" customFormat="false" ht="15" hidden="false" customHeight="false" outlineLevel="0" collapsed="false">
      <c r="A19" s="0" t="n">
        <v>4750</v>
      </c>
      <c r="B19" s="10" t="n">
        <f aca="false">A19*Datos!$C$13/60</f>
        <v>4750</v>
      </c>
      <c r="C19" s="11" t="n">
        <f aca="false">60000/(A19*Datos!$C$13)</f>
        <v>0.210526315789474</v>
      </c>
    </row>
    <row r="20" customFormat="false" ht="15" hidden="false" customHeight="false" outlineLevel="0" collapsed="false">
      <c r="A20" s="0" t="n">
        <v>5000</v>
      </c>
      <c r="B20" s="10" t="n">
        <f aca="false">A20*Datos!$C$13/60</f>
        <v>5000</v>
      </c>
      <c r="C20" s="11" t="n">
        <f aca="false">60000/(A20*Datos!$C$13)</f>
        <v>0.2</v>
      </c>
    </row>
    <row r="21" customFormat="false" ht="15" hidden="false" customHeight="false" outlineLevel="0" collapsed="false">
      <c r="A21" s="0" t="n">
        <v>5250</v>
      </c>
      <c r="B21" s="10" t="n">
        <f aca="false">A21*Datos!$C$13/60</f>
        <v>5250</v>
      </c>
      <c r="C21" s="11" t="n">
        <f aca="false">60000/(A21*Datos!$C$13)</f>
        <v>0.19047619047619</v>
      </c>
    </row>
    <row r="22" customFormat="false" ht="15" hidden="false" customHeight="false" outlineLevel="0" collapsed="false">
      <c r="A22" s="0" t="n">
        <v>5500</v>
      </c>
      <c r="B22" s="10" t="n">
        <f aca="false">A22*Datos!$C$13/60</f>
        <v>5500</v>
      </c>
      <c r="C22" s="11" t="n">
        <f aca="false">60000/(A22*Datos!$C$13)</f>
        <v>0.181818181818182</v>
      </c>
    </row>
    <row r="23" customFormat="false" ht="15" hidden="false" customHeight="false" outlineLevel="0" collapsed="false">
      <c r="A23" s="0" t="n">
        <v>5750</v>
      </c>
      <c r="B23" s="10" t="n">
        <f aca="false">A23*Datos!$C$13/60</f>
        <v>5750</v>
      </c>
      <c r="C23" s="11" t="n">
        <f aca="false">60000/(A23*Datos!$C$13)</f>
        <v>0.173913043478261</v>
      </c>
    </row>
    <row r="24" customFormat="false" ht="15" hidden="false" customHeight="false" outlineLevel="0" collapsed="false">
      <c r="A24" s="0" t="n">
        <v>6000</v>
      </c>
      <c r="B24" s="10" t="n">
        <f aca="false">A24*Datos!$C$13/60</f>
        <v>6000</v>
      </c>
      <c r="C24" s="11" t="n">
        <f aca="false">60000/(A24*Datos!$C$13)</f>
        <v>0.166666666666667</v>
      </c>
    </row>
    <row r="25" customFormat="false" ht="15" hidden="false" customHeight="false" outlineLevel="0" collapsed="false">
      <c r="A25" s="0" t="n">
        <v>6250</v>
      </c>
      <c r="B25" s="10" t="n">
        <f aca="false">A25*Datos!$C$13/60</f>
        <v>6250</v>
      </c>
      <c r="C25" s="11" t="n">
        <f aca="false">60000/(A25*Datos!$C$13)</f>
        <v>0.16</v>
      </c>
    </row>
    <row r="26" customFormat="false" ht="15" hidden="false" customHeight="false" outlineLevel="0" collapsed="false">
      <c r="A26" s="0" t="n">
        <v>6500</v>
      </c>
      <c r="B26" s="10" t="n">
        <f aca="false">A26*Datos!$C$13/60</f>
        <v>6500</v>
      </c>
      <c r="C26" s="11" t="n">
        <f aca="false">60000/(A26*Datos!$C$13)</f>
        <v>0.153846153846154</v>
      </c>
    </row>
    <row r="27" customFormat="false" ht="15" hidden="false" customHeight="false" outlineLevel="0" collapsed="false">
      <c r="A27" s="0" t="n">
        <v>6750</v>
      </c>
      <c r="B27" s="10" t="n">
        <f aca="false">A27*Datos!$C$13/60</f>
        <v>6750</v>
      </c>
      <c r="C27" s="11" t="n">
        <f aca="false">60000/(A27*Datos!$C$13)</f>
        <v>0.148148148148148</v>
      </c>
    </row>
    <row r="28" customFormat="false" ht="15" hidden="false" customHeight="false" outlineLevel="0" collapsed="false">
      <c r="A28" s="0" t="n">
        <v>7000</v>
      </c>
      <c r="B28" s="10" t="n">
        <f aca="false">A28*Datos!$C$13/60</f>
        <v>7000</v>
      </c>
      <c r="C28" s="11" t="n">
        <f aca="false">60000/(A28*Datos!$C$13)</f>
        <v>0.142857142857143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26.85" hidden="false" customHeight="false" outlineLevel="0" collapsed="false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  <c r="F1" s="4" t="s">
        <v>119</v>
      </c>
      <c r="G1" s="4" t="s">
        <v>120</v>
      </c>
    </row>
    <row r="2" customFormat="false" ht="15" hidden="false" customHeight="false" outlineLevel="0" collapsed="false">
      <c r="A2" s="5" t="n">
        <f aca="false">Datos!$C$14</f>
        <v>800</v>
      </c>
      <c r="B2" s="7" t="n">
        <f aca="false">60000/A2</f>
        <v>75</v>
      </c>
      <c r="C2" s="7" t="n">
        <f aca="false">120000/(A2*Datos!$C$4)</f>
        <v>37.5</v>
      </c>
      <c r="D2" s="7" t="n">
        <f aca="false">Datos!$C$5</f>
        <v>4</v>
      </c>
      <c r="E2" s="12" t="n">
        <f aca="false">D2/B2*100</f>
        <v>5.33333333333333</v>
      </c>
      <c r="F2" s="13" t="n">
        <f aca="false">A2*Datos!$C$13/60</f>
        <v>800</v>
      </c>
      <c r="G2" s="14" t="n">
        <f aca="false">60000/(A2*Datos!$C$13)</f>
        <v>1.25</v>
      </c>
    </row>
    <row r="3" customFormat="false" ht="15" hidden="false" customHeight="false" outlineLevel="0" collapsed="false">
      <c r="A3" s="5" t="n">
        <f aca="false">Datos!$C$15</f>
        <v>1000</v>
      </c>
      <c r="B3" s="7" t="n">
        <f aca="false">60000/A3</f>
        <v>60</v>
      </c>
      <c r="C3" s="7" t="n">
        <f aca="false">120000/(A3*Datos!$C$4)</f>
        <v>30</v>
      </c>
      <c r="D3" s="7" t="n">
        <f aca="false">Datos!$C$5</f>
        <v>4</v>
      </c>
      <c r="E3" s="12" t="n">
        <f aca="false">D3/B3*100</f>
        <v>6.66666666666667</v>
      </c>
      <c r="F3" s="13" t="n">
        <f aca="false">A3*Datos!$C$13/60</f>
        <v>1000</v>
      </c>
      <c r="G3" s="14" t="n">
        <f aca="false">60000/(A3*Datos!$C$13)</f>
        <v>1</v>
      </c>
    </row>
    <row r="4" customFormat="false" ht="15" hidden="false" customHeight="false" outlineLevel="0" collapsed="false">
      <c r="A4" s="5" t="n">
        <f aca="false">Datos!$C$16</f>
        <v>2000</v>
      </c>
      <c r="B4" s="7" t="n">
        <f aca="false">60000/A4</f>
        <v>30</v>
      </c>
      <c r="C4" s="7" t="n">
        <f aca="false">120000/(A4*Datos!$C$4)</f>
        <v>15</v>
      </c>
      <c r="D4" s="7" t="n">
        <f aca="false">Datos!$C$5</f>
        <v>4</v>
      </c>
      <c r="E4" s="12" t="n">
        <f aca="false">D4/B4*100</f>
        <v>13.3333333333333</v>
      </c>
      <c r="F4" s="13" t="n">
        <f aca="false">A4*Datos!$C$13/60</f>
        <v>2000</v>
      </c>
      <c r="G4" s="14" t="n">
        <f aca="false">60000/(A4*Datos!$C$13)</f>
        <v>0.5</v>
      </c>
    </row>
    <row r="5" customFormat="false" ht="15" hidden="false" customHeight="false" outlineLevel="0" collapsed="false">
      <c r="A5" s="5" t="n">
        <f aca="false">Datos!$C$17</f>
        <v>3000</v>
      </c>
      <c r="B5" s="7" t="n">
        <f aca="false">60000/A5</f>
        <v>20</v>
      </c>
      <c r="C5" s="7" t="n">
        <f aca="false">120000/(A5*Datos!$C$4)</f>
        <v>10</v>
      </c>
      <c r="D5" s="7" t="n">
        <f aca="false">Datos!$C$5</f>
        <v>4</v>
      </c>
      <c r="E5" s="12" t="n">
        <f aca="false">D5/B5*100</f>
        <v>20</v>
      </c>
      <c r="F5" s="13" t="n">
        <f aca="false">A5*Datos!$C$13/60</f>
        <v>3000</v>
      </c>
      <c r="G5" s="14" t="n">
        <f aca="false">60000/(A5*Datos!$C$13)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2026-09-21T17:53:44Z</dcterms:created>
  <dc:creator>openpyxl</dc:creator>
  <dc:description/>
  <dc:language>en-US</dc:language>
  <cp:lastModifiedBy/>
  <dcterms:modified xsi:type="dcterms:W3CDTF">2026-09-21T17:53:45Z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