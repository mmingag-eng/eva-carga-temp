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alización y conicidad" sheetId="1" state="visible" r:id="rId1"/>
    <sheet xmlns:r="http://schemas.openxmlformats.org/officeDocument/2006/relationships" name="Anticongelante" sheetId="2" state="visible" r:id="rId2"/>
    <sheet xmlns:r="http://schemas.openxmlformats.org/officeDocument/2006/relationships" name="Balance térmico" sheetId="3" state="visible" r:id="rId3"/>
    <sheet xmlns:r="http://schemas.openxmlformats.org/officeDocument/2006/relationships" name="Cigüeñal y Plastigage" sheetId="4" state="visible" r:id="rId4"/>
    <sheet xmlns:r="http://schemas.openxmlformats.org/officeDocument/2006/relationships" name="Bomba de aceite" sheetId="5" state="visible" r:id="rId5"/>
    <sheet xmlns:r="http://schemas.openxmlformats.org/officeDocument/2006/relationships" name="Guía" sheetId="6" state="visible" r:id="rId6"/>
    <sheet xmlns:r="http://schemas.openxmlformats.org/officeDocument/2006/relationships" name="Datos" sheetId="7" state="visible" r:id="rId7"/>
    <sheet xmlns:r="http://schemas.openxmlformats.org/officeDocument/2006/relationships" name="Datos bomb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  <font>
      <name val="Arial"/>
      <color rgb="000000FF"/>
    </font>
    <font>
      <name val="Arial"/>
      <color rgb="00595959"/>
      <sz val="9"/>
    </font>
    <font>
      <name val="Arial"/>
      <b val="1"/>
      <color rgb="00C0392B"/>
      <sz val="12"/>
    </font>
    <font>
      <name val="Arial"/>
      <b val="1"/>
      <color rgb="00C0392B"/>
      <sz val="9"/>
    </font>
    <font>
      <name val="Arial"/>
      <b val="1"/>
      <color rgb="00C0392B"/>
      <sz val="10"/>
    </font>
    <font>
      <name val="Arial"/>
      <i val="1"/>
      <sz val="9"/>
    </font>
    <font>
      <name val="Arial"/>
      <b val="1"/>
      <color rgb="001F3A5F"/>
    </font>
    <font>
      <name val="Arial"/>
      <b val="1"/>
      <color rgb="00C0392B"/>
    </font>
    <font>
      <name val="Arial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2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2" fontId="7" fillId="3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6" fillId="4" borderId="1" pivotButton="0" quotePrefix="0" xfId="0"/>
    <xf numFmtId="1" fontId="6" fillId="4" borderId="1" applyAlignment="1" pivotButton="0" quotePrefix="0" xfId="0">
      <alignment horizontal="center"/>
    </xf>
    <xf numFmtId="0" fontId="8" fillId="0" borderId="0" pivotButton="0" quotePrefix="0" xfId="0"/>
    <xf numFmtId="2" fontId="6" fillId="4" borderId="1" applyAlignment="1" pivotButton="0" quotePrefix="0" xfId="0">
      <alignment horizontal="center"/>
    </xf>
    <xf numFmtId="0" fontId="9" fillId="0" borderId="0" pivotButton="0" quotePrefix="0" xfId="0"/>
    <xf numFmtId="0" fontId="5" fillId="3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0" fillId="0" borderId="0" pivotButton="0" quotePrefix="0" xfId="0"/>
    <xf numFmtId="165" fontId="6" fillId="4" borderId="1" applyAlignment="1" pivotButton="0" quotePrefix="0" xfId="0">
      <alignment horizontal="center"/>
    </xf>
    <xf numFmtId="0" fontId="11" fillId="0" borderId="0" pivotButton="0" quotePrefix="0" xfId="0"/>
    <xf numFmtId="166" fontId="6" fillId="4" borderId="1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5" fontId="5" fillId="3" borderId="1" pivotButton="0" quotePrefix="0" xfId="0"/>
    <xf numFmtId="0" fontId="4" fillId="0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4" fillId="0" borderId="0" pivotButton="0" quotePrefix="0" xfId="0"/>
    <xf numFmtId="49" fontId="6" fillId="4" borderId="1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5" fillId="0" borderId="0" pivotButton="0" quotePrefix="0" xfId="0"/>
    <xf numFmtId="9" fontId="4" fillId="0" borderId="0" pivotButton="0" quotePrefix="0" xfId="0"/>
    <xf numFmtId="1" fontId="4" fillId="0" borderId="0" pivotButton="0" quotePrefix="0" xfId="0"/>
    <xf numFmtId="0" fontId="1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Ovalización y conicidad por cilindro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'Ovalización y conicidad'!H12</f>
            </strRef>
          </tx>
          <spPr>
            <a:solidFill xmlns:a="http://schemas.openxmlformats.org/drawingml/2006/main">
              <a:srgbClr val="1F4FD8"/>
            </a:solidFill>
            <a:ln xmlns:a="http://schemas.openxmlformats.org/drawingml/2006/main">
              <a:prstDash val="solid"/>
            </a:ln>
          </spPr>
          <cat>
            <numRef>
              <f>'Ovalización y conicidad'!$A$13:$A$16</f>
            </numRef>
          </cat>
          <val>
            <numRef>
              <f>'Ovalización y conicidad'!$H$13:$H$16</f>
            </numRef>
          </val>
        </ser>
        <ser>
          <idx val="1"/>
          <order val="1"/>
          <tx>
            <strRef>
              <f>'Ovalización y conicidad'!I12</f>
            </strRef>
          </tx>
          <spPr>
            <a:solidFill xmlns:a="http://schemas.openxmlformats.org/drawingml/2006/main">
              <a:srgbClr val="E8501E"/>
            </a:solidFill>
            <a:ln xmlns:a="http://schemas.openxmlformats.org/drawingml/2006/main">
              <a:prstDash val="solid"/>
            </a:ln>
          </spPr>
          <cat>
            <numRef>
              <f>'Ovalización y conicidad'!$A$13:$A$16</f>
            </numRef>
          </cat>
          <val>
            <numRef>
              <f>'Ovalización y conicidad'!$I$13:$I$16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Cilindro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Protección de la mezcla según la concentración</a:t>
            </a:r>
          </a:p>
        </rich>
      </tx>
    </title>
    <plotArea>
      <scatterChart>
        <scatterStyle val="smoothMarker"/>
        <ser>
          <idx val="0"/>
          <order val="0"/>
          <tx>
            <v>Punto de congelación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FD8"/>
              </a:solidFill>
              <a:ln xmlns:a="http://schemas.openxmlformats.org/drawingml/2006/main">
                <a:solidFill>
                  <a:srgbClr val="1F4FD8"/>
                </a:solidFill>
                <a:prstDash val="solid"/>
              </a:ln>
            </spPr>
          </marker>
          <xVal>
            <numRef>
              <f>'Datos'!$A$3:$A$9</f>
            </numRef>
          </xVal>
          <yVal>
            <numRef>
              <f>'Datos'!$B$3:$B$9</f>
            </numRef>
          </yVal>
          <smooth val="1"/>
        </ser>
        <ser>
          <idx val="1"/>
          <order val="1"/>
          <tx>
            <v>Ebullición a 1 atm</v>
          </tx>
          <spPr>
            <a:ln xmlns:a="http://schemas.openxmlformats.org/drawingml/2006/main" w="28575">
              <a:solidFill>
                <a:srgbClr val="D7301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D7301F"/>
              </a:solidFill>
              <a:ln xmlns:a="http://schemas.openxmlformats.org/drawingml/2006/main">
                <a:solidFill>
                  <a:srgbClr val="D7301F"/>
                </a:solidFill>
                <a:prstDash val="solid"/>
              </a:ln>
            </spPr>
          </marker>
          <xVal>
            <numRef>
              <f>'Datos'!$A$3:$A$9</f>
            </numRef>
          </xVal>
          <yVal>
            <numRef>
              <f>'Datos'!$C$3:$C$9</f>
            </numRef>
          </yVal>
          <smooth val="1"/>
        </ser>
        <axId val="10"/>
        <axId val="20"/>
      </scatterChart>
      <valAx>
        <axId val="10"/>
        <scaling>
          <orientation val="minMax"/>
          <max val="0.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Concentración de anticongelante</a:t>
                </a:r>
              </a:p>
            </rich>
          </tx>
        </title>
        <numFmt formatCode="0%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[°C]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Destino de la energía del combustible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'Balance térmico'!B27</f>
            </strRef>
          </tx>
          <spPr>
            <a:solidFill xmlns:a="http://schemas.openxmlformats.org/drawingml/2006/main">
              <a:srgbClr val="1F4FD8"/>
            </a:solidFill>
            <a:ln xmlns:a="http://schemas.openxmlformats.org/drawingml/2006/main">
              <a:prstDash val="solid"/>
            </a:ln>
          </spPr>
          <cat>
            <numRef>
              <f>'Balance térmico'!$A$28:$A$31</f>
            </numRef>
          </cat>
          <val>
            <numRef>
              <f>'Balance térmico'!$B$28:$B$31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Ovalización, conicidad y desgaste por muñón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'Cigüeñal y Plastigage'!I14</f>
            </strRef>
          </tx>
          <spPr>
            <a:solidFill xmlns:a="http://schemas.openxmlformats.org/drawingml/2006/main">
              <a:srgbClr val="1F4FD8"/>
            </a:solidFill>
            <a:ln xmlns:a="http://schemas.openxmlformats.org/drawingml/2006/main">
              <a:prstDash val="solid"/>
            </a:ln>
          </spPr>
          <cat>
            <numRef>
              <f>'Cigüeñal y Plastigage'!$A$15:$A$23</f>
            </numRef>
          </cat>
          <val>
            <numRef>
              <f>'Cigüeñal y Plastigage'!$I$15:$I$23</f>
            </numRef>
          </val>
        </ser>
        <ser>
          <idx val="1"/>
          <order val="1"/>
          <tx>
            <strRef>
              <f>'Cigüeñal y Plastigage'!J14</f>
            </strRef>
          </tx>
          <spPr>
            <a:solidFill xmlns:a="http://schemas.openxmlformats.org/drawingml/2006/main">
              <a:srgbClr val="2E9E44"/>
            </a:solidFill>
            <a:ln xmlns:a="http://schemas.openxmlformats.org/drawingml/2006/main">
              <a:prstDash val="solid"/>
            </a:ln>
          </spPr>
          <cat>
            <numRef>
              <f>'Cigüeñal y Plastigage'!$A$15:$A$23</f>
            </numRef>
          </cat>
          <val>
            <numRef>
              <f>'Cigüeñal y Plastigage'!$J$15:$J$23</f>
            </numRef>
          </val>
        </ser>
        <ser>
          <idx val="2"/>
          <order val="2"/>
          <tx>
            <strRef>
              <f>'Cigüeñal y Plastigage'!K14</f>
            </strRef>
          </tx>
          <spPr>
            <a:solidFill xmlns:a="http://schemas.openxmlformats.org/drawingml/2006/main">
              <a:srgbClr val="E8501E"/>
            </a:solidFill>
            <a:ln xmlns:a="http://schemas.openxmlformats.org/drawingml/2006/main">
              <a:prstDash val="solid"/>
            </a:ln>
          </spPr>
          <cat>
            <numRef>
              <f>'Cigüeñal y Plastigage'!$A$15:$A$23</f>
            </numRef>
          </cat>
          <val>
            <numRef>
              <f>'Cigüeñal y Plastigage'!$K$15:$K$23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Presión de aceite según el régimen</a:t>
            </a:r>
          </a:p>
        </rich>
      </tx>
    </title>
    <plotArea>
      <scatterChart>
        <scatterStyle val="lineMarker"/>
        <ser>
          <idx val="0"/>
          <order val="0"/>
          <tx>
            <v>Presión en el circuito</v>
          </tx>
          <spPr>
            <a:ln xmlns:a="http://schemas.openxmlformats.org/drawingml/2006/main" w="28575">
              <a:solidFill>
                <a:srgbClr val="E850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bomba'!$D$3:$D$35</f>
            </numRef>
          </xVal>
          <yVal>
            <numRef>
              <f>'Datos bomba'!$E$3:$E$35</f>
            </numRef>
          </yVal>
          <smooth val="0"/>
        </ser>
        <ser>
          <idx val="1"/>
          <order val="1"/>
          <tx>
            <v>Apertura de la válvula de descarga</v>
          </tx>
          <spPr>
            <a:ln xmlns:a="http://schemas.openxmlformats.org/drawingml/2006/main" w="15875">
              <a:solidFill>
                <a:srgbClr val="D730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bomba'!$D$3:$D$35</f>
            </numRef>
          </xVal>
          <yVal>
            <numRef>
              <f>'Datos bomba'!$H$3:$H$35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Presión [bar]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Caudal de la bomba y caudal a los cojinetes</a:t>
            </a:r>
          </a:p>
        </rich>
      </tx>
    </title>
    <plotArea>
      <scatterChart>
        <scatterStyle val="lineMarker"/>
        <ser>
          <idx val="0"/>
          <order val="0"/>
          <tx>
            <v>Caudal de la bomba</v>
          </tx>
          <spPr>
            <a:ln xmlns:a="http://schemas.openxmlformats.org/drawingml/2006/main" w="28575">
              <a:solidFill>
                <a:srgbClr val="1F4F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bomba'!$D$3:$D$35</f>
            </numRef>
          </xVal>
          <yVal>
            <numRef>
              <f>'Datos bomba'!$F$3:$F$35</f>
            </numRef>
          </yVal>
          <smooth val="0"/>
        </ser>
        <ser>
          <idx val="1"/>
          <order val="1"/>
          <tx>
            <v>Caudal a los cojinetes</v>
          </tx>
          <spPr>
            <a:ln xmlns:a="http://schemas.openxmlformats.org/drawingml/2006/main" w="28575">
              <a:solidFill>
                <a:srgbClr val="2E9E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'Datos bomba'!$D$3:$D$35</f>
            </numRef>
          </xVal>
          <yVal>
            <numRef>
              <f>'Datos bomba'!$G$3:$G$35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 [rpm]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[L/min]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Simulador</author>
  </authors>
  <commentList>
    <comment ref="B5" authorId="0" shapeId="0">
      <text>
        <t>Dato del manual (Autodata).</t>
      </text>
    </comment>
    <comment ref="D5" authorId="0" shapeId="0">
      <text>
        <t>Sobremedidas de pistón disponibles para el motor, de menor a mayor.</t>
      </text>
    </comment>
    <comment ref="B8" authorId="0" shapeId="0">
      <text>
        <t>Diferencia entre el mayor diámetro medido y el nominal.</t>
      </text>
    </comment>
    <comment ref="B9" authorId="0" shapeId="0">
      <text>
        <t>Material que el rectificador necesita quitar además del desgaste para dejar el cilindro redondo y bruñido.</t>
      </text>
    </comment>
    <comment ref="A13" authorId="0" shapeId="0">
      <text>
        <t>Lecturas de ejemplo: el cilindro 3 presenta el desgaste típico en la zona alta, donde trabaja el segmento de fuego.</t>
      </text>
    </comment>
  </commentList>
</comments>
</file>

<file path=xl/comments/comment2.xml><?xml version="1.0" encoding="utf-8"?>
<comments xmlns="http://schemas.openxmlformats.org/spreadsheetml/2006/main">
  <authors>
    <author>Simulador</author>
  </authors>
  <commentList>
    <comment ref="B5" authorId="0" shapeId="0">
      <text>
        <t>Dato del manual.</t>
      </text>
    </comment>
    <comment ref="B6" authorId="0" shapeId="0">
      <text>
        <t>Habitual 40–50 %. No superar 60 %.</t>
      </text>
    </comment>
    <comment ref="B7" authorId="0" shapeId="0">
      <text>
        <t>Medida con refractómetro o densímetro.</t>
      </text>
    </comment>
    <comment ref="B8" authorId="0" shapeId="0">
      <text>
        <t>Grabada en el tapón del depósito o del radiador.</t>
      </text>
    </comment>
    <comment ref="B9" authorId="0" shapeId="0">
      <text>
        <t>Loja ≈ 2100 m.</t>
      </text>
    </comment>
  </commentList>
</comments>
</file>

<file path=xl/comments/comment3.xml><?xml version="1.0" encoding="utf-8"?>
<comments xmlns="http://schemas.openxmlformats.org/spreadsheetml/2006/main">
  <authors>
    <author>Simulador</author>
  </authors>
  <commentList>
    <comment ref="B5" authorId="0" shapeId="0">
      <text>
        <t>Por ejemplo, la del banco o la ficha técnica a ese régimen.</t>
      </text>
    </comment>
    <comment ref="B7" authorId="0" shapeId="0">
      <text>
        <t>Gasolina ≈ 43,5 MJ/kg; diésel ≈ 42,8 MJ/kg.</t>
      </text>
    </comment>
    <comment ref="B8" authorId="0" shapeId="0">
      <text>
        <t>Típico 30–35 % en gasolina.</t>
      </text>
    </comment>
    <comment ref="B10" authorId="0" shapeId="0">
      <text>
        <t>Diferencia entre la entrada y la salida del radiador.</t>
      </text>
    </comment>
    <comment ref="B11" authorId="0" shapeId="0">
      <text>
        <t>Mezcla 50 % agua-glicol ≈ 3,6.</t>
      </text>
    </comment>
  </commentList>
</comments>
</file>

<file path=xl/comments/comment4.xml><?xml version="1.0" encoding="utf-8"?>
<comments xmlns="http://schemas.openxmlformats.org/spreadsheetml/2006/main">
  <authors>
    <author>Simulador</author>
  </authors>
  <commentList>
    <comment ref="B5" authorId="0" shapeId="0">
      <text>
        <t>Ejemplo 22 de la guía.</t>
      </text>
    </comment>
    <comment ref="B6" authorId="0" shapeId="0">
      <text>
        <t>1 si va en el cigüeñal; 0,5 si la mueve el árbol de levas o el distribuidor.</t>
      </text>
    </comment>
    <comment ref="B8" authorId="0" shapeId="0">
      <text>
        <t>Holgura excesiva entre engranajes/rotores y carcasa.</t>
      </text>
    </comment>
    <comment ref="B11" authorId="0" shapeId="0">
      <text>
        <t>Depende de las holguras de los cojinetes.</t>
      </text>
    </comment>
    <comment ref="B12" authorId="0" shapeId="0">
      <text>
        <t>Desgaste: el caudal que escapa crece con el cubo de la holgura.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2" customWidth="1" min="11" max="11"/>
    <col width="22" customWidth="1" min="12" max="12"/>
    <col width="3" customWidth="1" min="13" max="13"/>
  </cols>
  <sheetData>
    <row r="1">
      <c r="A1" s="1" t="inlineStr">
        <is>
          <t>Simulador 1 · Ovalización, conicidad y decisión de rectificado del bloque</t>
        </is>
      </c>
    </row>
    <row r="2">
      <c r="A2" s="2" t="inlineStr">
        <is>
          <t>Sistemas del Funcionamiento del Motor (MA.02.06) · Unidad 4 · Edite solo las celdas amarillas (texto azul); todo lo demás se recalcula.</t>
        </is>
      </c>
    </row>
    <row r="4">
      <c r="A4" s="3" t="inlineStr">
        <is>
          <t>Especificación del motor</t>
        </is>
      </c>
      <c r="B4" s="3" t="inlineStr">
        <is>
          <t>Valor</t>
        </is>
      </c>
      <c r="D4" s="3" t="inlineStr">
        <is>
          <t>Sobremedidas comerciales (mm)</t>
        </is>
      </c>
      <c r="E4" s="4" t="n"/>
      <c r="F4" s="5" t="n"/>
    </row>
    <row r="5">
      <c r="A5" s="6" t="inlineStr">
        <is>
          <t>Diámetro nominal del cilindro (mm)</t>
        </is>
      </c>
      <c r="B5" s="7" t="n">
        <v>74</v>
      </c>
      <c r="D5" s="7" t="n">
        <v>0.25</v>
      </c>
    </row>
    <row r="6">
      <c r="A6" s="6" t="inlineStr">
        <is>
          <t>Ovalización máxima admisible (mm)</t>
        </is>
      </c>
      <c r="B6" s="7" t="n">
        <v>0.05</v>
      </c>
      <c r="D6" s="7" t="n">
        <v>0.5</v>
      </c>
    </row>
    <row r="7">
      <c r="A7" s="6" t="inlineStr">
        <is>
          <t>Conicidad máxima admisible (mm)</t>
        </is>
      </c>
      <c r="B7" s="7" t="n">
        <v>0.05</v>
      </c>
      <c r="D7" s="7" t="n">
        <v>0.75</v>
      </c>
    </row>
    <row r="8">
      <c r="A8" s="6" t="inlineStr">
        <is>
          <t>Desgaste máximo admisible (mm)</t>
        </is>
      </c>
      <c r="B8" s="7" t="n">
        <v>0.1</v>
      </c>
      <c r="D8" s="7" t="n">
        <v>1</v>
      </c>
    </row>
    <row r="9">
      <c r="A9" s="6" t="inlineStr">
        <is>
          <t>Margen de mecanizado para limpiar el desgaste (mm)</t>
        </is>
      </c>
      <c r="B9" s="7" t="n">
        <v>0.05</v>
      </c>
    </row>
    <row r="11">
      <c r="B11" s="2" t="inlineStr">
        <is>
          <t>Lecturas del alexómetro (mm): A = paralelo al cigüeñal, B = perpendicular</t>
        </is>
      </c>
    </row>
    <row r="12" ht="32" customHeight="1">
      <c r="A12" s="3" t="inlineStr">
        <is>
          <t>Cilindro</t>
        </is>
      </c>
      <c r="B12" s="3" t="inlineStr">
        <is>
          <t>Alta A</t>
        </is>
      </c>
      <c r="C12" s="3" t="inlineStr">
        <is>
          <t>Alta B</t>
        </is>
      </c>
      <c r="D12" s="3" t="inlineStr">
        <is>
          <t>Media A</t>
        </is>
      </c>
      <c r="E12" s="3" t="inlineStr">
        <is>
          <t>Media B</t>
        </is>
      </c>
      <c r="F12" s="3" t="inlineStr">
        <is>
          <t>Baja A</t>
        </is>
      </c>
      <c r="G12" s="3" t="inlineStr">
        <is>
          <t>Baja B</t>
        </is>
      </c>
      <c r="H12" s="3" t="inlineStr">
        <is>
          <t>Ovalización máx. (mm)</t>
        </is>
      </c>
      <c r="I12" s="3" t="inlineStr">
        <is>
          <t>Conicidad máx. (mm)</t>
        </is>
      </c>
      <c r="J12" s="3" t="inlineStr">
        <is>
          <t>Diámetro máx. (mm)</t>
        </is>
      </c>
      <c r="K12" s="3" t="inlineStr">
        <is>
          <t>Desgaste (mm)</t>
        </is>
      </c>
      <c r="L12" s="3" t="inlineStr">
        <is>
          <t>Estado</t>
        </is>
      </c>
    </row>
    <row r="13">
      <c r="A13" s="8" t="n">
        <v>1</v>
      </c>
      <c r="B13" s="9" t="n">
        <v>74.02</v>
      </c>
      <c r="C13" s="9" t="n">
        <v>74.03</v>
      </c>
      <c r="D13" s="9" t="n">
        <v>74.01000000000001</v>
      </c>
      <c r="E13" s="9" t="n">
        <v>74.02</v>
      </c>
      <c r="F13" s="9" t="n">
        <v>74</v>
      </c>
      <c r="G13" s="9" t="n">
        <v>74.01000000000001</v>
      </c>
      <c r="H13" s="10">
        <f>ROUND(MAX(ABS(B13-C13),ABS(D13-E13),ABS(F13-G13)),3)</f>
        <v/>
      </c>
      <c r="I13" s="10">
        <f>ROUND(MAX(ABS(B13-F13),ABS(C13-G13)),3)</f>
        <v/>
      </c>
      <c r="J13" s="10">
        <f>MAX(B13:G13)</f>
        <v/>
      </c>
      <c r="K13" s="10">
        <f>ROUND(J13-$B$5,3)</f>
        <v/>
      </c>
      <c r="L13" s="8">
        <f>IF(AND(H13&lt;=$B$6,I13&lt;=$B$7,K13&lt;=$B$8),"Cumple","Fuera de límite")</f>
        <v/>
      </c>
    </row>
    <row r="14">
      <c r="A14" s="8" t="n">
        <v>2</v>
      </c>
      <c r="B14" s="9" t="n">
        <v>74.03</v>
      </c>
      <c r="C14" s="9" t="n">
        <v>74.05</v>
      </c>
      <c r="D14" s="9" t="n">
        <v>74.02</v>
      </c>
      <c r="E14" s="9" t="n">
        <v>74.03</v>
      </c>
      <c r="F14" s="9" t="n">
        <v>74.01000000000001</v>
      </c>
      <c r="G14" s="9" t="n">
        <v>74.01000000000001</v>
      </c>
      <c r="H14" s="10">
        <f>ROUND(MAX(ABS(B14-C14),ABS(D14-E14),ABS(F14-G14)),3)</f>
        <v/>
      </c>
      <c r="I14" s="10">
        <f>ROUND(MAX(ABS(B14-F14),ABS(C14-G14)),3)</f>
        <v/>
      </c>
      <c r="J14" s="10">
        <f>MAX(B14:G14)</f>
        <v/>
      </c>
      <c r="K14" s="10">
        <f>ROUND(J14-$B$5,3)</f>
        <v/>
      </c>
      <c r="L14" s="8">
        <f>IF(AND(H14&lt;=$B$6,I14&lt;=$B$7,K14&lt;=$B$8),"Cumple","Fuera de límite")</f>
        <v/>
      </c>
    </row>
    <row r="15">
      <c r="A15" s="8" t="n">
        <v>3</v>
      </c>
      <c r="B15" s="9" t="n">
        <v>74.06</v>
      </c>
      <c r="C15" s="9" t="n">
        <v>74.12</v>
      </c>
      <c r="D15" s="9" t="n">
        <v>74.04000000000001</v>
      </c>
      <c r="E15" s="9" t="n">
        <v>74.06999999999999</v>
      </c>
      <c r="F15" s="9" t="n">
        <v>74.01000000000001</v>
      </c>
      <c r="G15" s="9" t="n">
        <v>74.02</v>
      </c>
      <c r="H15" s="10">
        <f>ROUND(MAX(ABS(B15-C15),ABS(D15-E15),ABS(F15-G15)),3)</f>
        <v/>
      </c>
      <c r="I15" s="10">
        <f>ROUND(MAX(ABS(B15-F15),ABS(C15-G15)),3)</f>
        <v/>
      </c>
      <c r="J15" s="10">
        <f>MAX(B15:G15)</f>
        <v/>
      </c>
      <c r="K15" s="10">
        <f>ROUND(J15-$B$5,3)</f>
        <v/>
      </c>
      <c r="L15" s="8">
        <f>IF(AND(H15&lt;=$B$6,I15&lt;=$B$7,K15&lt;=$B$8),"Cumple","Fuera de límite")</f>
        <v/>
      </c>
    </row>
    <row r="16">
      <c r="A16" s="8" t="n">
        <v>4</v>
      </c>
      <c r="B16" s="9" t="n">
        <v>74.03</v>
      </c>
      <c r="C16" s="9" t="n">
        <v>74.04000000000001</v>
      </c>
      <c r="D16" s="9" t="n">
        <v>74.02</v>
      </c>
      <c r="E16" s="9" t="n">
        <v>74.03</v>
      </c>
      <c r="F16" s="9" t="n">
        <v>74.01000000000001</v>
      </c>
      <c r="G16" s="9" t="n">
        <v>74.01000000000001</v>
      </c>
      <c r="H16" s="10">
        <f>ROUND(MAX(ABS(B16-C16),ABS(D16-E16),ABS(F16-G16)),3)</f>
        <v/>
      </c>
      <c r="I16" s="10">
        <f>ROUND(MAX(ABS(B16-F16),ABS(C16-G16)),3)</f>
        <v/>
      </c>
      <c r="J16" s="10">
        <f>MAX(B16:G16)</f>
        <v/>
      </c>
      <c r="K16" s="10">
        <f>ROUND(J16-$B$5,3)</f>
        <v/>
      </c>
      <c r="L16" s="8">
        <f>IF(AND(H16&lt;=$B$6,I16&lt;=$B$7,K16&lt;=$B$8),"Cumple","Fuera de límite")</f>
        <v/>
      </c>
    </row>
    <row r="19">
      <c r="A19" s="3" t="inlineStr">
        <is>
          <t>Decisión para el bloque</t>
        </is>
      </c>
      <c r="B19" s="3" t="inlineStr">
        <is>
          <t>Valor</t>
        </is>
      </c>
      <c r="C19" s="3" t="inlineStr">
        <is>
          <t>Cómo se obtiene</t>
        </is>
      </c>
    </row>
    <row r="20">
      <c r="A20" s="11" t="inlineStr">
        <is>
          <t>Cilindros fuera de límite</t>
        </is>
      </c>
      <c r="B20" s="12">
        <f>COUNTIF(L13:L16,"Fuera de límite")</f>
        <v/>
      </c>
      <c r="C20" s="13" t="inlineStr">
        <is>
          <t>Cuenta de «Fuera de límite»</t>
        </is>
      </c>
    </row>
    <row r="21">
      <c r="A21" s="11" t="inlineStr">
        <is>
          <t>Desgaste máximo del bloque (mm)</t>
        </is>
      </c>
      <c r="B21" s="14">
        <f>MAX(K13:K16)</f>
        <v/>
      </c>
    </row>
    <row r="22">
      <c r="A22" s="11" t="inlineStr">
        <is>
          <t>Material a retirar (desgaste + margen, mm)</t>
        </is>
      </c>
      <c r="B22" s="14">
        <f>B21+B9</f>
        <v/>
      </c>
      <c r="C22" s="13" t="inlineStr">
        <is>
          <t>El rectificado debe limpiar el desgaste más el margen</t>
        </is>
      </c>
    </row>
    <row r="23">
      <c r="A23" s="11" t="inlineStr">
        <is>
          <t>Sobremedidas menores que lo necesario</t>
        </is>
      </c>
      <c r="B23" s="12">
        <f>COUNTIF(D5:D8,"&lt;"&amp;B22)</f>
        <v/>
      </c>
    </row>
    <row r="24">
      <c r="A24" s="11" t="inlineStr">
        <is>
          <t>Sobremedida a aplicar (mm)</t>
        </is>
      </c>
      <c r="B24" s="14">
        <f>IF(B20=0,0,IF(B23&gt;=COUNT(D5:D8),"Encamisar",SMALL(D5:D8,B23+1)))</f>
        <v/>
      </c>
      <c r="C24" s="13" t="inlineStr">
        <is>
          <t>Primera sobremedida comercial ≥ material a retirar</t>
        </is>
      </c>
    </row>
    <row r="25">
      <c r="A25" s="11" t="inlineStr">
        <is>
          <t>Diámetro final de rectificado (mm)</t>
        </is>
      </c>
      <c r="B25" s="14">
        <f>IF(ISNUMBER(B24),B5+B24,"Camisa al nominal")</f>
        <v/>
      </c>
      <c r="C25" s="13" t="inlineStr">
        <is>
          <t>Todos los cilindros a la misma sobremedida</t>
        </is>
      </c>
    </row>
    <row r="27">
      <c r="A27" s="15">
        <f>IF(B20=0,"Bloque apto: no requiere rectificado (cambiar segmentos y bruñir si el manual lo indica)",IF(ISNUMBER(B24),"Rectificar los "&amp;COUNT(B13:B16)&amp;" cilindros a +"&amp;TEXT(B24,"0.00")&amp;" mm y montar pistones y segmentos de esa sobremedida","El desgaste supera la mayor sobremedida: encamisar el bloque"))</f>
        <v/>
      </c>
    </row>
    <row r="29">
      <c r="A29" s="2" t="inlineStr">
        <is>
          <t>Las seis lecturas se toman en tres alturas (alta, media, baja) y dos direcciones. Ovalización = diferencia entre direcciones en una altura; conicidad = diferencia entre alturas en una dirección.</t>
        </is>
      </c>
    </row>
  </sheetData>
  <mergeCells count="2">
    <mergeCell ref="C19:G19"/>
    <mergeCell ref="D4:F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</cols>
  <sheetData>
    <row r="1">
      <c r="A1" s="1" t="inlineStr">
        <is>
          <t>Simulador 2 · Mezcla de anticongelante, punto de congelación y de ebullición</t>
        </is>
      </c>
    </row>
    <row r="2">
      <c r="A2" s="2" t="inlineStr">
        <is>
          <t>Sistemas del Funcionamiento del Motor (MA.02.06) · Unidad 4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6" t="inlineStr">
        <is>
          <t>Capacidad del circuito de refrigeración (L)</t>
        </is>
      </c>
      <c r="B5" s="16" t="n">
        <v>6</v>
      </c>
    </row>
    <row r="6">
      <c r="A6" s="6" t="inlineStr">
        <is>
          <t>Concentración deseada de anticongelante (%)</t>
        </is>
      </c>
      <c r="B6" s="17" t="n">
        <v>0.5</v>
      </c>
    </row>
    <row r="7">
      <c r="A7" s="6" t="inlineStr">
        <is>
          <t>Concentración actual en el circuito (%)</t>
        </is>
      </c>
      <c r="B7" s="17" t="n">
        <v>0.2</v>
      </c>
    </row>
    <row r="8">
      <c r="A8" s="6" t="inlineStr">
        <is>
          <t>Presión de apertura del tapón (bar)</t>
        </is>
      </c>
      <c r="B8" s="18" t="n">
        <v>1.1</v>
      </c>
    </row>
    <row r="9">
      <c r="A9" s="6" t="inlineStr">
        <is>
          <t>Altitud del lugar (m)</t>
        </is>
      </c>
      <c r="B9" s="19" t="n">
        <v>2100</v>
      </c>
    </row>
    <row r="11">
      <c r="A11" s="3" t="inlineStr">
        <is>
          <t>Resultados</t>
        </is>
      </c>
      <c r="B11" s="3" t="inlineStr">
        <is>
          <t>Valor</t>
        </is>
      </c>
      <c r="C11" s="3" t="inlineStr">
        <is>
          <t>Cómo se obtiene</t>
        </is>
      </c>
    </row>
    <row r="12">
      <c r="A12" s="11" t="inlineStr">
        <is>
          <t>Anticongelante concentrado para llenado nuevo (L)</t>
        </is>
      </c>
      <c r="B12" s="20">
        <f>B5*B6</f>
        <v/>
      </c>
      <c r="C12" s="13" t="inlineStr">
        <is>
          <t>Capacidad × concentración</t>
        </is>
      </c>
    </row>
    <row r="13">
      <c r="A13" s="11" t="inlineStr">
        <is>
          <t>Agua desmineralizada para llenado nuevo (L)</t>
        </is>
      </c>
      <c r="B13" s="20">
        <f>B5-B12</f>
        <v/>
      </c>
    </row>
    <row r="14">
      <c r="A14" s="11" t="inlineStr">
        <is>
          <t>Para corregir: líquido a drenar (L)</t>
        </is>
      </c>
      <c r="B14" s="20">
        <f>IF(B6&gt;B7,B5*(B6-B7)/(1-B7),B5*(B7-B6)/B7)</f>
        <v/>
      </c>
      <c r="C14" s="13" t="inlineStr">
        <is>
          <t>Se drena y se repone con concentrado (si falta) o con agua (si sobra)</t>
        </is>
      </c>
    </row>
    <row r="15">
      <c r="C15" s="21">
        <f>IF(B6&gt;B7,"Reponer los litros drenados con anticongelante puro","Reponer los litros drenados con agua desmineralizada")</f>
        <v/>
      </c>
    </row>
    <row r="16">
      <c r="A16" s="11" t="inlineStr">
        <is>
          <t>Punto de congelación de la mezcla (°C)</t>
        </is>
      </c>
      <c r="B16" s="12">
        <f>INDEX(Datos!B3:B9,MATCH(B6,Datos!A3:A9,1))+(B6-INDEX(Datos!A3:A9,MATCH(B6,Datos!A3:A9,1)))/0.1*(INDEX(Datos!B3:B10,MATCH(B6,Datos!A3:A9,1)+1)-INDEX(Datos!B3:B9,MATCH(B6,Datos!A3:A9,1)))</f>
        <v/>
      </c>
      <c r="C16" s="13" t="inlineStr">
        <is>
          <t>Interpolado en la tabla de etilenglicol</t>
        </is>
      </c>
    </row>
    <row r="17">
      <c r="A17" s="11" t="inlineStr">
        <is>
          <t>Elevación del punto de ebullición por el glicol (°C)</t>
        </is>
      </c>
      <c r="B17" s="20">
        <f>INDEX(Datos!C3:C9,MATCH(B6,Datos!A3:A9,1))+(B6-INDEX(Datos!A3:A9,MATCH(B6,Datos!A3:A9,1)))/0.1*(INDEX(Datos!C3:C10,MATCH(B6,Datos!A3:A9,1)+1)-INDEX(Datos!C3:C9,MATCH(B6,Datos!A3:A9,1)))-100</f>
        <v/>
      </c>
    </row>
    <row r="18">
      <c r="A18" s="11" t="inlineStr">
        <is>
          <t>Presión atmosférica en el lugar (bar)</t>
        </is>
      </c>
      <c r="B18" s="22">
        <f>1.01325*(1-0.0000225577*B9)^5.25588</f>
        <v/>
      </c>
      <c r="C18" s="13" t="inlineStr">
        <is>
          <t>Atmósfera estándar</t>
        </is>
      </c>
    </row>
    <row r="19">
      <c r="A19" s="11" t="inlineStr">
        <is>
          <t>Ebullición del agua sola, circuito abierto, en el lugar (°C)</t>
        </is>
      </c>
      <c r="B19" s="20">
        <f>1/(1/373.15-8.314/40650*LN(B18/1.01325))-273.15</f>
        <v/>
      </c>
      <c r="C19" s="13" t="inlineStr">
        <is>
          <t>Clausius-Clapeyron</t>
        </is>
      </c>
    </row>
    <row r="20">
      <c r="A20" s="11" t="inlineStr">
        <is>
          <t>Ebullición de la mezcla, circuito abierto (°C)</t>
        </is>
      </c>
      <c r="B20" s="20">
        <f>B19+B17</f>
        <v/>
      </c>
    </row>
    <row r="21">
      <c r="A21" s="11" t="inlineStr">
        <is>
          <t>Ebullición de la mezcla con el circuito presurizado (°C)</t>
        </is>
      </c>
      <c r="B21" s="20">
        <f>1/(1/373.15-8.314/40650*LN((B18+B8)/1.01325))-273.15+B17</f>
        <v/>
      </c>
      <c r="C21" s="13" t="inlineStr">
        <is>
          <t>Presión absoluta = atmosférica + tapón</t>
        </is>
      </c>
    </row>
    <row r="23">
      <c r="A23" s="23">
        <f>IF(B6&gt;0.6,"Atención: por encima del 60 % la mezcla vuelve a congelarse a temperatura más alta y refrigera peor",IF(B6&lt;0.3,"Concentración baja: poca protección contra corrosión y congelación","Concentración adecuada"))</f>
        <v/>
      </c>
    </row>
    <row r="24">
      <c r="A24" s="2" t="inlineStr">
        <is>
          <t>Tabla de etilenglicol con valores orientativos de bibliografía técnica; para un producto concreto use la ficha del fabricante.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4" customWidth="1" min="3" max="3"/>
  </cols>
  <sheetData>
    <row r="1">
      <c r="A1" s="1" t="inlineStr">
        <is>
          <t>Simulador 3 · Balance térmico del motor y caudal de refrigerante</t>
        </is>
      </c>
    </row>
    <row r="2">
      <c r="A2" s="2" t="inlineStr">
        <is>
          <t>Sistemas del Funcionamiento del Motor (MA.02.06) · Unidad 4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6" t="inlineStr">
        <is>
          <t>Potencia efectiva en el punto de estudio (kW)</t>
        </is>
      </c>
      <c r="B5" s="16" t="n">
        <v>60</v>
      </c>
    </row>
    <row r="6">
      <c r="A6" s="6" t="inlineStr">
        <is>
          <t>Consumo de combustible (kg/h)</t>
        </is>
      </c>
      <c r="B6" s="16" t="n">
        <v>18</v>
      </c>
    </row>
    <row r="7">
      <c r="A7" s="6" t="inlineStr">
        <is>
          <t>Poder calorífico inferior del combustible (MJ/kg)</t>
        </is>
      </c>
      <c r="B7" s="16" t="n">
        <v>43.5</v>
      </c>
    </row>
    <row r="8">
      <c r="A8" s="6" t="inlineStr">
        <is>
          <t>Fracción de la energía que sale por el escape</t>
        </is>
      </c>
      <c r="B8" s="17" t="n">
        <v>0.33</v>
      </c>
    </row>
    <row r="9">
      <c r="A9" s="6" t="inlineStr">
        <is>
          <t>Fracción de otras pérdidas (radiación, aceite, rozamientos)</t>
        </is>
      </c>
      <c r="B9" s="17" t="n">
        <v>0.08</v>
      </c>
    </row>
    <row r="10">
      <c r="A10" s="6" t="inlineStr">
        <is>
          <t>Salto de temperatura del refrigerante en el radiador (K)</t>
        </is>
      </c>
      <c r="B10" s="16" t="n">
        <v>8</v>
      </c>
    </row>
    <row r="11">
      <c r="A11" s="6" t="inlineStr">
        <is>
          <t>Calor específico del refrigerante (kJ/kg·K)</t>
        </is>
      </c>
      <c r="B11" s="16" t="n">
        <v>3.6</v>
      </c>
    </row>
    <row r="12">
      <c r="A12" s="6" t="inlineStr">
        <is>
          <t>Densidad del refrigerante (kg/L)</t>
        </is>
      </c>
      <c r="B12" s="16" t="n">
        <v>1.06</v>
      </c>
    </row>
    <row r="14">
      <c r="A14" s="3" t="inlineStr">
        <is>
          <t>Resultados</t>
        </is>
      </c>
      <c r="B14" s="3" t="inlineStr">
        <is>
          <t>Valor</t>
        </is>
      </c>
      <c r="C14" s="3" t="inlineStr">
        <is>
          <t>Cómo se obtiene</t>
        </is>
      </c>
    </row>
    <row r="15">
      <c r="A15" s="11" t="inlineStr">
        <is>
          <t>Potencia del combustible Q (kW)</t>
        </is>
      </c>
      <c r="B15" s="20">
        <f>B6*B7*1000/3600</f>
        <v/>
      </c>
      <c r="C15" s="13" t="inlineStr">
        <is>
          <t>Q = ṁ · PCI</t>
        </is>
      </c>
    </row>
    <row r="16">
      <c r="A16" s="11" t="inlineStr">
        <is>
          <t>Rendimiento efectivo ηe</t>
        </is>
      </c>
      <c r="B16" s="24">
        <f>B5/B15</f>
        <v/>
      </c>
      <c r="C16" s="13" t="inlineStr">
        <is>
          <t>ηe = Pe / Q</t>
        </is>
      </c>
    </row>
    <row r="17">
      <c r="A17" s="11" t="inlineStr">
        <is>
          <t>Consumo específico (g/kWh)</t>
        </is>
      </c>
      <c r="B17" s="12">
        <f>B6*1000/B5</f>
        <v/>
      </c>
      <c r="C17" s="13" t="inlineStr">
        <is>
          <t>ce = ṁ / Pe</t>
        </is>
      </c>
    </row>
    <row r="18">
      <c r="A18" s="11" t="inlineStr">
        <is>
          <t>Calor al escape (kW)</t>
        </is>
      </c>
      <c r="B18" s="20">
        <f>B15*B8</f>
        <v/>
      </c>
    </row>
    <row r="19">
      <c r="A19" s="11" t="inlineStr">
        <is>
          <t>Otras pérdidas (kW)</t>
        </is>
      </c>
      <c r="B19" s="20">
        <f>B15*B9</f>
        <v/>
      </c>
    </row>
    <row r="20">
      <c r="A20" s="11" t="inlineStr">
        <is>
          <t>Calor al sistema de refrigeración (kW)</t>
        </is>
      </c>
      <c r="B20" s="20">
        <f>B15-B5-B18-B19</f>
        <v/>
      </c>
      <c r="C20" s="13" t="inlineStr">
        <is>
          <t>Lo que queda del balance</t>
        </is>
      </c>
    </row>
    <row r="21">
      <c r="A21" s="11" t="inlineStr">
        <is>
          <t>Fracción a refrigeración</t>
        </is>
      </c>
      <c r="B21" s="24">
        <f>B20/B15</f>
        <v/>
      </c>
    </row>
    <row r="22">
      <c r="A22" s="11" t="inlineStr">
        <is>
          <t>Caudal másico de refrigerante (kg/s)</t>
        </is>
      </c>
      <c r="B22" s="14">
        <f>B20/(B11*B10)</f>
        <v/>
      </c>
      <c r="C22" s="13" t="inlineStr">
        <is>
          <t>ṁ = Q_ref / (cp · ΔT)</t>
        </is>
      </c>
    </row>
    <row r="23">
      <c r="A23" s="11" t="inlineStr">
        <is>
          <t>Caudal que debe mover la bomba (L/min)</t>
        </is>
      </c>
      <c r="B23" s="12">
        <f>B22/B12*60</f>
        <v/>
      </c>
    </row>
    <row r="25">
      <c r="A25" s="23">
        <f>IF(B20&lt;=0,"Revise los datos: el balance no deja calor para la refrigeración","Balance coherente")</f>
        <v/>
      </c>
    </row>
    <row r="27">
      <c r="A27" s="3" t="inlineStr">
        <is>
          <t>Reparto (kW)</t>
        </is>
      </c>
      <c r="B27" s="3" t="inlineStr">
        <is>
          <t>kW</t>
        </is>
      </c>
    </row>
    <row r="28">
      <c r="A28" s="25" t="inlineStr">
        <is>
          <t>Trabajo útil</t>
        </is>
      </c>
      <c r="B28" s="26">
        <f>B5</f>
        <v/>
      </c>
    </row>
    <row r="29">
      <c r="A29" s="25" t="inlineStr">
        <is>
          <t>Refrigeración</t>
        </is>
      </c>
      <c r="B29" s="26">
        <f>B20</f>
        <v/>
      </c>
    </row>
    <row r="30">
      <c r="A30" s="25" t="inlineStr">
        <is>
          <t>Escape</t>
        </is>
      </c>
      <c r="B30" s="26">
        <f>B18</f>
        <v/>
      </c>
    </row>
    <row r="31">
      <c r="A31" s="25" t="inlineStr">
        <is>
          <t>Otras pérdidas</t>
        </is>
      </c>
      <c r="B31" s="26">
        <f>B19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40" customWidth="1" min="12" max="12"/>
    <col width="12" customWidth="1" min="13" max="13"/>
    <col hidden="1" width="4" customWidth="1" min="14" max="14"/>
  </cols>
  <sheetData>
    <row r="1">
      <c r="A1" s="1" t="inlineStr">
        <is>
          <t>Simulador · Medición del cigüeñal, holgura con Plastigage y medida de rectificado</t>
        </is>
      </c>
    </row>
    <row r="2">
      <c r="A2" s="2" t="inlineStr">
        <is>
          <t>Sistemas del Funcionamiento del Motor (MA.02.06) · Unidad 4 · Edite solo las celdas amarillas (texto azul); todo lo demás se recalcula.</t>
        </is>
      </c>
    </row>
    <row r="4">
      <c r="A4" s="3" t="inlineStr">
        <is>
          <t>Datos</t>
        </is>
      </c>
      <c r="B4" s="4" t="n"/>
      <c r="C4" s="4" t="n"/>
      <c r="D4" s="4" t="n"/>
      <c r="E4" s="5" t="n"/>
    </row>
    <row r="5">
      <c r="A5" s="6" t="inlineStr">
        <is>
          <t>Diámetro nominal de los apoyos de bancada (mm)</t>
        </is>
      </c>
      <c r="B5" s="4" t="n"/>
      <c r="C5" s="4" t="n"/>
      <c r="D5" s="4" t="n"/>
      <c r="E5" s="5" t="n"/>
      <c r="F5" s="27" t="n">
        <v>50</v>
      </c>
    </row>
    <row r="6">
      <c r="A6" s="6" t="inlineStr">
        <is>
          <t>Diámetro nominal de las muñequillas de biela (mm)</t>
        </is>
      </c>
      <c r="B6" s="4" t="n"/>
      <c r="C6" s="4" t="n"/>
      <c r="D6" s="4" t="n"/>
      <c r="E6" s="5" t="n"/>
      <c r="F6" s="27" t="n">
        <v>45</v>
      </c>
    </row>
    <row r="7">
      <c r="A7" s="6" t="inlineStr">
        <is>
          <t>Ovalización y conicidad máximas (mm)</t>
        </is>
      </c>
      <c r="B7" s="4" t="n"/>
      <c r="C7" s="4" t="n"/>
      <c r="D7" s="4" t="n"/>
      <c r="E7" s="5" t="n"/>
      <c r="F7" s="27" t="n">
        <v>0.01</v>
      </c>
    </row>
    <row r="8">
      <c r="A8" s="6" t="inlineStr">
        <is>
          <t>Desgaste máximo admisible bajo el nominal (mm)</t>
        </is>
      </c>
      <c r="B8" s="4" t="n"/>
      <c r="C8" s="4" t="n"/>
      <c r="D8" s="4" t="n"/>
      <c r="E8" s="5" t="n"/>
      <c r="F8" s="27" t="n">
        <v>0.025</v>
      </c>
    </row>
    <row r="9">
      <c r="A9" s="6" t="inlineStr">
        <is>
          <t>Holgura de aceite especificada, mínima (mm)</t>
        </is>
      </c>
      <c r="B9" s="4" t="n"/>
      <c r="C9" s="4" t="n"/>
      <c r="D9" s="4" t="n"/>
      <c r="E9" s="5" t="n"/>
      <c r="F9" s="27" t="n">
        <v>0.02</v>
      </c>
    </row>
    <row r="10">
      <c r="A10" s="6" t="inlineStr">
        <is>
          <t>Holgura de aceite especificada, máxima (mm)</t>
        </is>
      </c>
      <c r="B10" s="4" t="n"/>
      <c r="C10" s="4" t="n"/>
      <c r="D10" s="4" t="n"/>
      <c r="E10" s="5" t="n"/>
      <c r="F10" s="27" t="n">
        <v>0.05</v>
      </c>
    </row>
    <row r="11">
      <c r="A11" s="6" t="inlineStr">
        <is>
          <t>Holgura límite de servicio (mm)</t>
        </is>
      </c>
      <c r="B11" s="4" t="n"/>
      <c r="C11" s="4" t="n"/>
      <c r="D11" s="4" t="n"/>
      <c r="E11" s="5" t="n"/>
      <c r="F11" s="27" t="n">
        <v>0.08</v>
      </c>
    </row>
    <row r="12">
      <c r="A12" s="6" t="inlineStr">
        <is>
          <t>Margen mínimo de material para rectificar (mm)</t>
        </is>
      </c>
      <c r="B12" s="4" t="n"/>
      <c r="C12" s="4" t="n"/>
      <c r="D12" s="4" t="n"/>
      <c r="E12" s="5" t="n"/>
      <c r="F12" s="27" t="n">
        <v>0.02</v>
      </c>
    </row>
    <row r="14">
      <c r="A14" s="3" t="inlineStr">
        <is>
          <t>Muñón</t>
        </is>
      </c>
      <c r="B14" s="3" t="inlineStr">
        <is>
          <t>Tipo</t>
        </is>
      </c>
      <c r="C14" s="3" t="inlineStr">
        <is>
          <t>Plano A sec. 1</t>
        </is>
      </c>
      <c r="D14" s="3" t="inlineStr">
        <is>
          <t>Plano B sec. 1</t>
        </is>
      </c>
      <c r="E14" s="3" t="inlineStr">
        <is>
          <t>Plano A sec. 2</t>
        </is>
      </c>
      <c r="F14" s="3" t="inlineStr">
        <is>
          <t>Plano B sec. 2</t>
        </is>
      </c>
      <c r="G14" s="3" t="inlineStr">
        <is>
          <t>Plastigage (mm)</t>
        </is>
      </c>
      <c r="H14" s="3" t="inlineStr">
        <is>
          <t>D mín</t>
        </is>
      </c>
      <c r="I14" s="3" t="inlineStr">
        <is>
          <t>Ovalización</t>
        </is>
      </c>
      <c r="J14" s="3" t="inlineStr">
        <is>
          <t>Conicidad</t>
        </is>
      </c>
      <c r="K14" s="3" t="inlineStr">
        <is>
          <t>Desgaste</t>
        </is>
      </c>
      <c r="L14" s="3" t="inlineStr">
        <is>
          <t>Decisión</t>
        </is>
      </c>
      <c r="M14" s="3" t="inlineStr">
        <is>
          <t>Rectificar a</t>
        </is>
      </c>
      <c r="N14" s="3" t="inlineStr">
        <is>
          <t>u</t>
        </is>
      </c>
    </row>
    <row r="15">
      <c r="A15" s="28" t="inlineStr">
        <is>
          <t>Bancada 1</t>
        </is>
      </c>
      <c r="B15" s="28" t="inlineStr">
        <is>
          <t>Bancada</t>
        </is>
      </c>
      <c r="C15" s="29" t="n">
        <v>49.995</v>
      </c>
      <c r="D15" s="29" t="n">
        <v>49.993</v>
      </c>
      <c r="E15" s="29" t="n">
        <v>49.994</v>
      </c>
      <c r="F15" s="29" t="n">
        <v>49.995</v>
      </c>
      <c r="G15" s="29" t="n">
        <v>0.035</v>
      </c>
      <c r="H15" s="30">
        <f>MIN(C15:F15)</f>
        <v/>
      </c>
      <c r="I15" s="30">
        <f>MAX(ABS(C15-D15),ABS(E15-F15))</f>
        <v/>
      </c>
      <c r="J15" s="30">
        <f>MAX(ABS(C15-E15),ABS(D15-F15))</f>
        <v/>
      </c>
      <c r="K15" s="30">
        <f>IF(B15="Bancada",$F$5,$F$6)-H15</f>
        <v/>
      </c>
      <c r="L15" s="28">
        <f>IF(NOT(AND(I15&lt;=$F$7,J15&lt;=$F$7,K15&lt;=$F$8)),"Rectificar (geometría fuera de tolerancia)",IF(G15&gt;$F$11,"Cambiar cojinetes y volver a medir",IF(G15&gt;$F$10,"Holgura alta: cojinetes nuevos STD",IF(G15&lt;$F$9,"Holgura baja: revisar cojinete y medición","Correcto"))))</f>
        <v/>
      </c>
      <c r="M15" s="28">
        <f>IF(N15=0,"STD",IF(N15=9,"Sustituir","−"&amp;TEXT(N15,"0.00")&amp;" mm"))</f>
        <v/>
      </c>
      <c r="N15" s="28">
        <f>IF(AND(I15&lt;=$F$7,J15&lt;=$F$7,K15&lt;=$F$8),0,IF(IF(B15="Bancada",$F$5,$F$6)-0.25&lt;=H15-$F$12,0.25,IF(IF(B15="Bancada",$F$5,$F$6)-0.5&lt;=H15-$F$12,0.5,IF(IF(B15="Bancada",$F$5,$F$6)-0.75&lt;=H15-$F$12,0.75,IF(IF(B15="Bancada",$F$5,$F$6)-1&lt;=H15-$F$12,1,9)))))</f>
        <v/>
      </c>
    </row>
    <row r="16">
      <c r="A16" s="28" t="inlineStr">
        <is>
          <t>Bancada 2</t>
        </is>
      </c>
      <c r="B16" s="28" t="inlineStr">
        <is>
          <t>Bancada</t>
        </is>
      </c>
      <c r="C16" s="29" t="n">
        <v>49.99</v>
      </c>
      <c r="D16" s="29" t="n">
        <v>49.982</v>
      </c>
      <c r="E16" s="29" t="n">
        <v>49.988</v>
      </c>
      <c r="F16" s="29" t="n">
        <v>49.985</v>
      </c>
      <c r="G16" s="29" t="n">
        <v>0.06</v>
      </c>
      <c r="H16" s="30">
        <f>MIN(C16:F16)</f>
        <v/>
      </c>
      <c r="I16" s="30">
        <f>MAX(ABS(C16-D16),ABS(E16-F16))</f>
        <v/>
      </c>
      <c r="J16" s="30">
        <f>MAX(ABS(C16-E16),ABS(D16-F16))</f>
        <v/>
      </c>
      <c r="K16" s="30">
        <f>IF(B16="Bancada",$F$5,$F$6)-H16</f>
        <v/>
      </c>
      <c r="L16" s="28">
        <f>IF(NOT(AND(I16&lt;=$F$7,J16&lt;=$F$7,K16&lt;=$F$8)),"Rectificar (geometría fuera de tolerancia)",IF(G16&gt;$F$11,"Cambiar cojinetes y volver a medir",IF(G16&gt;$F$10,"Holgura alta: cojinetes nuevos STD",IF(G16&lt;$F$9,"Holgura baja: revisar cojinete y medición","Correcto"))))</f>
        <v/>
      </c>
      <c r="M16" s="28">
        <f>IF(N16=0,"STD",IF(N16=9,"Sustituir","−"&amp;TEXT(N16,"0.00")&amp;" mm"))</f>
        <v/>
      </c>
      <c r="N16" s="28">
        <f>IF(AND(I16&lt;=$F$7,J16&lt;=$F$7,K16&lt;=$F$8),0,IF(IF(B16="Bancada",$F$5,$F$6)-0.25&lt;=H16-$F$12,0.25,IF(IF(B16="Bancada",$F$5,$F$6)-0.5&lt;=H16-$F$12,0.5,IF(IF(B16="Bancada",$F$5,$F$6)-0.75&lt;=H16-$F$12,0.75,IF(IF(B16="Bancada",$F$5,$F$6)-1&lt;=H16-$F$12,1,9)))))</f>
        <v/>
      </c>
    </row>
    <row r="17">
      <c r="A17" s="28" t="inlineStr">
        <is>
          <t>Bancada 3</t>
        </is>
      </c>
      <c r="B17" s="28" t="inlineStr">
        <is>
          <t>Bancada</t>
        </is>
      </c>
      <c r="C17" s="29" t="n">
        <v>49.996</v>
      </c>
      <c r="D17" s="29" t="n">
        <v>49.994</v>
      </c>
      <c r="E17" s="29" t="n">
        <v>49.995</v>
      </c>
      <c r="F17" s="29" t="n">
        <v>49.993</v>
      </c>
      <c r="G17" s="29" t="n">
        <v>0.04</v>
      </c>
      <c r="H17" s="30">
        <f>MIN(C17:F17)</f>
        <v/>
      </c>
      <c r="I17" s="30">
        <f>MAX(ABS(C17-D17),ABS(E17-F17))</f>
        <v/>
      </c>
      <c r="J17" s="30">
        <f>MAX(ABS(C17-E17),ABS(D17-F17))</f>
        <v/>
      </c>
      <c r="K17" s="30">
        <f>IF(B17="Bancada",$F$5,$F$6)-H17</f>
        <v/>
      </c>
      <c r="L17" s="28">
        <f>IF(NOT(AND(I17&lt;=$F$7,J17&lt;=$F$7,K17&lt;=$F$8)),"Rectificar (geometría fuera de tolerancia)",IF(G17&gt;$F$11,"Cambiar cojinetes y volver a medir",IF(G17&gt;$F$10,"Holgura alta: cojinetes nuevos STD",IF(G17&lt;$F$9,"Holgura baja: revisar cojinete y medición","Correcto"))))</f>
        <v/>
      </c>
      <c r="M17" s="28">
        <f>IF(N17=0,"STD",IF(N17=9,"Sustituir","−"&amp;TEXT(N17,"0.00")&amp;" mm"))</f>
        <v/>
      </c>
      <c r="N17" s="28">
        <f>IF(AND(I17&lt;=$F$7,J17&lt;=$F$7,K17&lt;=$F$8),0,IF(IF(B17="Bancada",$F$5,$F$6)-0.25&lt;=H17-$F$12,0.25,IF(IF(B17="Bancada",$F$5,$F$6)-0.5&lt;=H17-$F$12,0.5,IF(IF(B17="Bancada",$F$5,$F$6)-0.75&lt;=H17-$F$12,0.75,IF(IF(B17="Bancada",$F$5,$F$6)-1&lt;=H17-$F$12,1,9)))))</f>
        <v/>
      </c>
    </row>
    <row r="18">
      <c r="A18" s="28" t="inlineStr">
        <is>
          <t>Bancada 4</t>
        </is>
      </c>
      <c r="B18" s="28" t="inlineStr">
        <is>
          <t>Bancada</t>
        </is>
      </c>
      <c r="C18" s="29" t="n">
        <v>49.994</v>
      </c>
      <c r="D18" s="29" t="n">
        <v>49.995</v>
      </c>
      <c r="E18" s="29" t="n">
        <v>49.993</v>
      </c>
      <c r="F18" s="29" t="n">
        <v>49.994</v>
      </c>
      <c r="G18" s="29" t="n">
        <v>0.045</v>
      </c>
      <c r="H18" s="30">
        <f>MIN(C18:F18)</f>
        <v/>
      </c>
      <c r="I18" s="30">
        <f>MAX(ABS(C18-D18),ABS(E18-F18))</f>
        <v/>
      </c>
      <c r="J18" s="30">
        <f>MAX(ABS(C18-E18),ABS(D18-F18))</f>
        <v/>
      </c>
      <c r="K18" s="30">
        <f>IF(B18="Bancada",$F$5,$F$6)-H18</f>
        <v/>
      </c>
      <c r="L18" s="28">
        <f>IF(NOT(AND(I18&lt;=$F$7,J18&lt;=$F$7,K18&lt;=$F$8)),"Rectificar (geometría fuera de tolerancia)",IF(G18&gt;$F$11,"Cambiar cojinetes y volver a medir",IF(G18&gt;$F$10,"Holgura alta: cojinetes nuevos STD",IF(G18&lt;$F$9,"Holgura baja: revisar cojinete y medición","Correcto"))))</f>
        <v/>
      </c>
      <c r="M18" s="28">
        <f>IF(N18=0,"STD",IF(N18=9,"Sustituir","−"&amp;TEXT(N18,"0.00")&amp;" mm"))</f>
        <v/>
      </c>
      <c r="N18" s="28">
        <f>IF(AND(I18&lt;=$F$7,J18&lt;=$F$7,K18&lt;=$F$8),0,IF(IF(B18="Bancada",$F$5,$F$6)-0.25&lt;=H18-$F$12,0.25,IF(IF(B18="Bancada",$F$5,$F$6)-0.5&lt;=H18-$F$12,0.5,IF(IF(B18="Bancada",$F$5,$F$6)-0.75&lt;=H18-$F$12,0.75,IF(IF(B18="Bancada",$F$5,$F$6)-1&lt;=H18-$F$12,1,9)))))</f>
        <v/>
      </c>
    </row>
    <row r="19">
      <c r="A19" s="28" t="inlineStr">
        <is>
          <t>Bancada 5</t>
        </is>
      </c>
      <c r="B19" s="28" t="inlineStr">
        <is>
          <t>Bancada</t>
        </is>
      </c>
      <c r="C19" s="29" t="n">
        <v>49.996</v>
      </c>
      <c r="D19" s="29" t="n">
        <v>49.995</v>
      </c>
      <c r="E19" s="29" t="n">
        <v>49.996</v>
      </c>
      <c r="F19" s="29" t="n">
        <v>49.994</v>
      </c>
      <c r="G19" s="29" t="n">
        <v>0.03</v>
      </c>
      <c r="H19" s="30">
        <f>MIN(C19:F19)</f>
        <v/>
      </c>
      <c r="I19" s="30">
        <f>MAX(ABS(C19-D19),ABS(E19-F19))</f>
        <v/>
      </c>
      <c r="J19" s="30">
        <f>MAX(ABS(C19-E19),ABS(D19-F19))</f>
        <v/>
      </c>
      <c r="K19" s="30">
        <f>IF(B19="Bancada",$F$5,$F$6)-H19</f>
        <v/>
      </c>
      <c r="L19" s="28">
        <f>IF(NOT(AND(I19&lt;=$F$7,J19&lt;=$F$7,K19&lt;=$F$8)),"Rectificar (geometría fuera de tolerancia)",IF(G19&gt;$F$11,"Cambiar cojinetes y volver a medir",IF(G19&gt;$F$10,"Holgura alta: cojinetes nuevos STD",IF(G19&lt;$F$9,"Holgura baja: revisar cojinete y medición","Correcto"))))</f>
        <v/>
      </c>
      <c r="M19" s="28">
        <f>IF(N19=0,"STD",IF(N19=9,"Sustituir","−"&amp;TEXT(N19,"0.00")&amp;" mm"))</f>
        <v/>
      </c>
      <c r="N19" s="28">
        <f>IF(AND(I19&lt;=$F$7,J19&lt;=$F$7,K19&lt;=$F$8),0,IF(IF(B19="Bancada",$F$5,$F$6)-0.25&lt;=H19-$F$12,0.25,IF(IF(B19="Bancada",$F$5,$F$6)-0.5&lt;=H19-$F$12,0.5,IF(IF(B19="Bancada",$F$5,$F$6)-0.75&lt;=H19-$F$12,0.75,IF(IF(B19="Bancada",$F$5,$F$6)-1&lt;=H19-$F$12,1,9)))))</f>
        <v/>
      </c>
    </row>
    <row r="20">
      <c r="A20" s="28" t="inlineStr">
        <is>
          <t>Biela 1</t>
        </is>
      </c>
      <c r="B20" s="28" t="inlineStr">
        <is>
          <t>Biela</t>
        </is>
      </c>
      <c r="C20" s="29" t="n">
        <v>44.994</v>
      </c>
      <c r="D20" s="29" t="n">
        <v>44.993</v>
      </c>
      <c r="E20" s="29" t="n">
        <v>44.995</v>
      </c>
      <c r="F20" s="29" t="n">
        <v>44.994</v>
      </c>
      <c r="G20" s="29" t="n">
        <v>0.04</v>
      </c>
      <c r="H20" s="30">
        <f>MIN(C20:F20)</f>
        <v/>
      </c>
      <c r="I20" s="30">
        <f>MAX(ABS(C20-D20),ABS(E20-F20))</f>
        <v/>
      </c>
      <c r="J20" s="30">
        <f>MAX(ABS(C20-E20),ABS(D20-F20))</f>
        <v/>
      </c>
      <c r="K20" s="30">
        <f>IF(B20="Bancada",$F$5,$F$6)-H20</f>
        <v/>
      </c>
      <c r="L20" s="28">
        <f>IF(NOT(AND(I20&lt;=$F$7,J20&lt;=$F$7,K20&lt;=$F$8)),"Rectificar (geometría fuera de tolerancia)",IF(G20&gt;$F$11,"Cambiar cojinetes y volver a medir",IF(G20&gt;$F$10,"Holgura alta: cojinetes nuevos STD",IF(G20&lt;$F$9,"Holgura baja: revisar cojinete y medición","Correcto"))))</f>
        <v/>
      </c>
      <c r="M20" s="28">
        <f>IF(N20=0,"STD",IF(N20=9,"Sustituir","−"&amp;TEXT(N20,"0.00")&amp;" mm"))</f>
        <v/>
      </c>
      <c r="N20" s="28">
        <f>IF(AND(I20&lt;=$F$7,J20&lt;=$F$7,K20&lt;=$F$8),0,IF(IF(B20="Bancada",$F$5,$F$6)-0.25&lt;=H20-$F$12,0.25,IF(IF(B20="Bancada",$F$5,$F$6)-0.5&lt;=H20-$F$12,0.5,IF(IF(B20="Bancada",$F$5,$F$6)-0.75&lt;=H20-$F$12,0.75,IF(IF(B20="Bancada",$F$5,$F$6)-1&lt;=H20-$F$12,1,9)))))</f>
        <v/>
      </c>
    </row>
    <row r="21">
      <c r="A21" s="28" t="inlineStr">
        <is>
          <t>Biela 2</t>
        </is>
      </c>
      <c r="B21" s="28" t="inlineStr">
        <is>
          <t>Biela</t>
        </is>
      </c>
      <c r="C21" s="29" t="n">
        <v>44.995</v>
      </c>
      <c r="D21" s="29" t="n">
        <v>44.994</v>
      </c>
      <c r="E21" s="29" t="n">
        <v>44.994</v>
      </c>
      <c r="F21" s="29" t="n">
        <v>44.993</v>
      </c>
      <c r="G21" s="29" t="n">
        <v>0.09</v>
      </c>
      <c r="H21" s="30">
        <f>MIN(C21:F21)</f>
        <v/>
      </c>
      <c r="I21" s="30">
        <f>MAX(ABS(C21-D21),ABS(E21-F21))</f>
        <v/>
      </c>
      <c r="J21" s="30">
        <f>MAX(ABS(C21-E21),ABS(D21-F21))</f>
        <v/>
      </c>
      <c r="K21" s="30">
        <f>IF(B21="Bancada",$F$5,$F$6)-H21</f>
        <v/>
      </c>
      <c r="L21" s="28">
        <f>IF(NOT(AND(I21&lt;=$F$7,J21&lt;=$F$7,K21&lt;=$F$8)),"Rectificar (geometría fuera de tolerancia)",IF(G21&gt;$F$11,"Cambiar cojinetes y volver a medir",IF(G21&gt;$F$10,"Holgura alta: cojinetes nuevos STD",IF(G21&lt;$F$9,"Holgura baja: revisar cojinete y medición","Correcto"))))</f>
        <v/>
      </c>
      <c r="M21" s="28">
        <f>IF(N21=0,"STD",IF(N21=9,"Sustituir","−"&amp;TEXT(N21,"0.00")&amp;" mm"))</f>
        <v/>
      </c>
      <c r="N21" s="28">
        <f>IF(AND(I21&lt;=$F$7,J21&lt;=$F$7,K21&lt;=$F$8),0,IF(IF(B21="Bancada",$F$5,$F$6)-0.25&lt;=H21-$F$12,0.25,IF(IF(B21="Bancada",$F$5,$F$6)-0.5&lt;=H21-$F$12,0.5,IF(IF(B21="Bancada",$F$5,$F$6)-0.75&lt;=H21-$F$12,0.75,IF(IF(B21="Bancada",$F$5,$F$6)-1&lt;=H21-$F$12,1,9)))))</f>
        <v/>
      </c>
    </row>
    <row r="22">
      <c r="A22" s="28" t="inlineStr">
        <is>
          <t>Biela 3</t>
        </is>
      </c>
      <c r="B22" s="28" t="inlineStr">
        <is>
          <t>Biela</t>
        </is>
      </c>
      <c r="C22" s="29" t="n">
        <v>44.97</v>
      </c>
      <c r="D22" s="29" t="n">
        <v>44.958</v>
      </c>
      <c r="E22" s="29" t="n">
        <v>44.968</v>
      </c>
      <c r="F22" s="29" t="n">
        <v>44.962</v>
      </c>
      <c r="G22" s="29" t="n">
        <v>0.07000000000000001</v>
      </c>
      <c r="H22" s="30">
        <f>MIN(C22:F22)</f>
        <v/>
      </c>
      <c r="I22" s="30">
        <f>MAX(ABS(C22-D22),ABS(E22-F22))</f>
        <v/>
      </c>
      <c r="J22" s="30">
        <f>MAX(ABS(C22-E22),ABS(D22-F22))</f>
        <v/>
      </c>
      <c r="K22" s="30">
        <f>IF(B22="Bancada",$F$5,$F$6)-H22</f>
        <v/>
      </c>
      <c r="L22" s="28">
        <f>IF(NOT(AND(I22&lt;=$F$7,J22&lt;=$F$7,K22&lt;=$F$8)),"Rectificar (geometría fuera de tolerancia)",IF(G22&gt;$F$11,"Cambiar cojinetes y volver a medir",IF(G22&gt;$F$10,"Holgura alta: cojinetes nuevos STD",IF(G22&lt;$F$9,"Holgura baja: revisar cojinete y medición","Correcto"))))</f>
        <v/>
      </c>
      <c r="M22" s="28">
        <f>IF(N22=0,"STD",IF(N22=9,"Sustituir","−"&amp;TEXT(N22,"0.00")&amp;" mm"))</f>
        <v/>
      </c>
      <c r="N22" s="28">
        <f>IF(AND(I22&lt;=$F$7,J22&lt;=$F$7,K22&lt;=$F$8),0,IF(IF(B22="Bancada",$F$5,$F$6)-0.25&lt;=H22-$F$12,0.25,IF(IF(B22="Bancada",$F$5,$F$6)-0.5&lt;=H22-$F$12,0.5,IF(IF(B22="Bancada",$F$5,$F$6)-0.75&lt;=H22-$F$12,0.75,IF(IF(B22="Bancada",$F$5,$F$6)-1&lt;=H22-$F$12,1,9)))))</f>
        <v/>
      </c>
    </row>
    <row r="23">
      <c r="A23" s="28" t="inlineStr">
        <is>
          <t>Biela 4</t>
        </is>
      </c>
      <c r="B23" s="28" t="inlineStr">
        <is>
          <t>Biela</t>
        </is>
      </c>
      <c r="C23" s="29" t="n">
        <v>44.994</v>
      </c>
      <c r="D23" s="29" t="n">
        <v>44.995</v>
      </c>
      <c r="E23" s="29" t="n">
        <v>44.993</v>
      </c>
      <c r="F23" s="29" t="n">
        <v>44.994</v>
      </c>
      <c r="G23" s="29" t="n">
        <v>0.015</v>
      </c>
      <c r="H23" s="30">
        <f>MIN(C23:F23)</f>
        <v/>
      </c>
      <c r="I23" s="30">
        <f>MAX(ABS(C23-D23),ABS(E23-F23))</f>
        <v/>
      </c>
      <c r="J23" s="30">
        <f>MAX(ABS(C23-E23),ABS(D23-F23))</f>
        <v/>
      </c>
      <c r="K23" s="30">
        <f>IF(B23="Bancada",$F$5,$F$6)-H23</f>
        <v/>
      </c>
      <c r="L23" s="28">
        <f>IF(NOT(AND(I23&lt;=$F$7,J23&lt;=$F$7,K23&lt;=$F$8)),"Rectificar (geometría fuera de tolerancia)",IF(G23&gt;$F$11,"Cambiar cojinetes y volver a medir",IF(G23&gt;$F$10,"Holgura alta: cojinetes nuevos STD",IF(G23&lt;$F$9,"Holgura baja: revisar cojinete y medición","Correcto"))))</f>
        <v/>
      </c>
      <c r="M23" s="28">
        <f>IF(N23=0,"STD",IF(N23=9,"Sustituir","−"&amp;TEXT(N23,"0.00")&amp;" mm"))</f>
        <v/>
      </c>
      <c r="N23" s="28">
        <f>IF(AND(I23&lt;=$F$7,J23&lt;=$F$7,K23&lt;=$F$8),0,IF(IF(B23="Bancada",$F$5,$F$6)-0.25&lt;=H23-$F$12,0.25,IF(IF(B23="Bancada",$F$5,$F$6)-0.5&lt;=H23-$F$12,0.5,IF(IF(B23="Bancada",$F$5,$F$6)-0.75&lt;=H23-$F$12,0.75,IF(IF(B23="Bancada",$F$5,$F$6)-1&lt;=H23-$F$12,1,9)))))</f>
        <v/>
      </c>
    </row>
    <row r="25">
      <c r="A25" s="31">
        <f>"Todos los apoyos de bancada se rectifican a la misma medida: "&amp;IF(MAX(N15:N19)=0,"STD (no requiere)",IF(MAX(N15:N19)=9,"sustituir el cigüeñal","−"&amp;TEXT(MAX(N15:N19),"0.00")&amp;" mm"))</f>
        <v/>
      </c>
    </row>
    <row r="26">
      <c r="A26" s="31">
        <f>"Todas las muñequillas de biela se rectifican a: "&amp;IF(MAX(N20:N23)=0,"STD (no requiere)",IF(MAX(N20:N23)=9,"sustituir el cigüeñal","−"&amp;TEXT(MAX(N20:N23),"0.00")&amp;" mm"))</f>
        <v/>
      </c>
    </row>
    <row r="27">
      <c r="A27" s="2" t="inlineStr">
        <is>
          <t>Ovalización = diferencia entre planos A y B en la misma sección; conicidad = diferencia entre secciones en el mismo plano; desgaste = nominal − diámetro mínimo.</t>
        </is>
      </c>
    </row>
    <row r="29">
      <c r="A29" s="3" t="inlineStr">
        <is>
          <t>Plastigage</t>
        </is>
      </c>
      <c r="B29" s="3" t="inlineStr">
        <is>
          <t>Rango (mm)</t>
        </is>
      </c>
      <c r="C29" s="5" t="n"/>
    </row>
    <row r="30">
      <c r="A30" s="25" t="inlineStr">
        <is>
          <t>Verde (PG-1)</t>
        </is>
      </c>
      <c r="B30" s="25" t="inlineStr">
        <is>
          <t>0,025 – 0,076</t>
        </is>
      </c>
    </row>
    <row r="31">
      <c r="A31" s="25" t="inlineStr">
        <is>
          <t>Rojo (PR-1)</t>
        </is>
      </c>
      <c r="B31" s="25" t="inlineStr">
        <is>
          <t>0,051 – 0,152</t>
        </is>
      </c>
    </row>
    <row r="32">
      <c r="A32" s="25" t="inlineStr">
        <is>
          <t>Azul (PB-1)</t>
        </is>
      </c>
      <c r="B32" s="25" t="inlineStr">
        <is>
          <t>0,102 – 0,229</t>
        </is>
      </c>
    </row>
    <row r="33">
      <c r="A33" s="2" t="inlineStr">
        <is>
          <t>Compare el ancho del hilo aplastado con la escala del envase y escriba la holgura en la columna Plastigage. Use el hilo verde para holguras de cojinetes de turismo.</t>
        </is>
      </c>
    </row>
  </sheetData>
  <mergeCells count="10">
    <mergeCell ref="A12:E12"/>
    <mergeCell ref="A4:E4"/>
    <mergeCell ref="B29:C29"/>
    <mergeCell ref="A7:E7"/>
    <mergeCell ref="A10:E10"/>
    <mergeCell ref="A11:E11"/>
    <mergeCell ref="A5:E5"/>
    <mergeCell ref="A8:E8"/>
    <mergeCell ref="A6:E6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4" customWidth="1" min="1" max="1"/>
    <col width="32" customWidth="1" min="2" max="2"/>
    <col width="50" customWidth="1" min="3" max="3"/>
  </cols>
  <sheetData>
    <row r="1">
      <c r="A1" s="1" t="inlineStr">
        <is>
          <t>Simulador · Bomba de aceite y válvula de descarga: caudal y presión</t>
        </is>
      </c>
    </row>
    <row r="2">
      <c r="A2" s="2" t="inlineStr">
        <is>
          <t>Sistemas del Funcionamiento del Motor (MA.02.06) · Unidad 4 · Edite solo las celdas amarillas (texto azul); todo lo demás se recalcula.</t>
        </is>
      </c>
    </row>
    <row r="4">
      <c r="A4" s="3" t="inlineStr">
        <is>
          <t>Datos de entrada</t>
        </is>
      </c>
      <c r="B4" s="3" t="inlineStr">
        <is>
          <t>Valor</t>
        </is>
      </c>
    </row>
    <row r="5">
      <c r="A5" s="6" t="inlineStr">
        <is>
          <t>Cilindrada de la bomba (cm³/rev)</t>
        </is>
      </c>
      <c r="B5" s="16" t="n">
        <v>8</v>
      </c>
    </row>
    <row r="6">
      <c r="A6" s="6" t="inlineStr">
        <is>
          <t>Relación de giro bomba/cigüeñal</t>
        </is>
      </c>
      <c r="B6" s="16" t="n">
        <v>1</v>
      </c>
    </row>
    <row r="7">
      <c r="A7" s="6" t="inlineStr">
        <is>
          <t>Rendimiento volumétrico de la bomba nueva</t>
        </is>
      </c>
      <c r="B7" s="16" t="n">
        <v>0.92</v>
      </c>
    </row>
    <row r="8">
      <c r="A8" s="6" t="inlineStr">
        <is>
          <t>Desgaste de la bomba (pérdida de caudal, %)</t>
        </is>
      </c>
      <c r="B8" s="16" t="n">
        <v>0</v>
      </c>
    </row>
    <row r="9">
      <c r="A9" s="6" t="inlineStr">
        <is>
          <t>Aceite y temperatura</t>
        </is>
      </c>
      <c r="B9" s="16" t="inlineStr">
        <is>
          <t>SAE 15W-40 caliente (100 °C)</t>
        </is>
      </c>
    </row>
    <row r="10">
      <c r="A10" s="6" t="inlineStr">
        <is>
          <t>Presión de apertura de la válvula de descarga (bar)</t>
        </is>
      </c>
      <c r="B10" s="16" t="n">
        <v>4.5</v>
      </c>
    </row>
    <row r="11">
      <c r="A11" s="6" t="inlineStr">
        <is>
          <t>Resistencia del circuito (bar por L/min, aceite de referencia)</t>
        </is>
      </c>
      <c r="B11" s="16" t="n">
        <v>0.25</v>
      </c>
    </row>
    <row r="12">
      <c r="A12" s="6" t="inlineStr">
        <is>
          <t>Aumento de holgura de los cojinetes (%)</t>
        </is>
      </c>
      <c r="B12" s="16" t="n">
        <v>0</v>
      </c>
    </row>
    <row r="13">
      <c r="A13" s="6" t="inlineStr">
        <is>
          <t>Régimen de análisis (rpm)</t>
        </is>
      </c>
      <c r="B13" s="16" t="n">
        <v>3000</v>
      </c>
    </row>
    <row r="14">
      <c r="A14" s="6" t="inlineStr">
        <is>
          <t>Régimen de ralentí (rpm)</t>
        </is>
      </c>
      <c r="B14" s="16" t="n">
        <v>800</v>
      </c>
    </row>
    <row r="15">
      <c r="A15" s="6" t="inlineStr">
        <is>
          <t>Presión mínima admisible en ralentí (bar)</t>
        </is>
      </c>
      <c r="B15" s="16" t="n">
        <v>1</v>
      </c>
    </row>
    <row r="17">
      <c r="A17" s="3" t="inlineStr">
        <is>
          <t>Resultados al régimen de análisis</t>
        </is>
      </c>
      <c r="B17" s="3" t="inlineStr">
        <is>
          <t>Valor</t>
        </is>
      </c>
      <c r="C17" s="3" t="inlineStr">
        <is>
          <t>Cómo se obtiene</t>
        </is>
      </c>
    </row>
    <row r="18">
      <c r="A18" s="11" t="inlineStr">
        <is>
          <t>Viscosidad relativa μ</t>
        </is>
      </c>
      <c r="B18" s="20">
        <f>VLOOKUP(B9,'Datos bomba'!$A$3:$B$7,2,FALSE)</f>
        <v/>
      </c>
    </row>
    <row r="19">
      <c r="A19" s="11" t="inlineStr">
        <is>
          <t>Resistencia efectiva del circuito (bar por L/min)</t>
        </is>
      </c>
      <c r="B19" s="22">
        <f>B11/(1+B12/100)^3</f>
        <v/>
      </c>
      <c r="C19" s="13" t="inlineStr">
        <is>
          <t>R/(1 + Δh)³</t>
        </is>
      </c>
    </row>
    <row r="20">
      <c r="A20" s="11" t="inlineStr">
        <is>
          <t>Caudal teórico de la bomba (L/min)</t>
        </is>
      </c>
      <c r="B20" s="20">
        <f>B5*B6*B13/1000</f>
        <v/>
      </c>
      <c r="C20" s="13" t="inlineStr">
        <is>
          <t>Q = V·n (ejemplo 22 de la guía)</t>
        </is>
      </c>
    </row>
    <row r="21">
      <c r="A21" s="11" t="inlineStr">
        <is>
          <t>Presión sin válvula de descarga (bar)</t>
        </is>
      </c>
      <c r="B21" s="14">
        <f>B19*B18*B20*B7*(1-B8/100)/(1+B19*0.3)</f>
        <v/>
      </c>
      <c r="C21" s="13" t="inlineStr">
        <is>
          <t>p = R·μ·Q real (con fugas internas de la bomba)</t>
        </is>
      </c>
    </row>
    <row r="22">
      <c r="A22" s="11" t="inlineStr">
        <is>
          <t>Presión en el circuito (bar)</t>
        </is>
      </c>
      <c r="B22" s="14">
        <f>MIN(B21,B10)</f>
        <v/>
      </c>
      <c r="C22" s="13" t="inlineStr">
        <is>
          <t>La válvula limita la presión</t>
        </is>
      </c>
    </row>
    <row r="23">
      <c r="A23" s="11" t="inlineStr">
        <is>
          <t>Caudal que llega a los cojinetes (L/min)</t>
        </is>
      </c>
      <c r="B23" s="20">
        <f>B22/(B19*B18)</f>
        <v/>
      </c>
      <c r="C23" s="13" t="inlineStr">
        <is>
          <t>Q = p/(R·μ)</t>
        </is>
      </c>
    </row>
    <row r="24">
      <c r="A24" s="11" t="inlineStr">
        <is>
          <t>Caudal que regresa por la válvula de descarga (L/min)</t>
        </is>
      </c>
      <c r="B24" s="20">
        <f>MAX(0,B20*B7*(1-B8/100)-0.3*B22/B18-B23)</f>
        <v/>
      </c>
    </row>
    <row r="25">
      <c r="A25" s="11" t="inlineStr">
        <is>
          <t>Válvula de descarga</t>
        </is>
      </c>
      <c r="B25" s="32">
        <f>IF(B21&gt;B10,"Abierta (limitando)","Cerrada")</f>
        <v/>
      </c>
    </row>
    <row r="26">
      <c r="A26" s="11" t="inlineStr">
        <is>
          <t>Presión en ralentí (bar)</t>
        </is>
      </c>
      <c r="B26" s="14">
        <f>MIN(B10,B19*B18*B5*B6*B14/1000*B7*(1-B8/100)/(1+B19*0.3))</f>
        <v/>
      </c>
    </row>
    <row r="28">
      <c r="A28" s="31">
        <f>IF(B26&lt;B15,"Presión baja en ralentí: se encenderá el testigo. Causas: aceite muy fluido o caliente, bomba o cojinetes desgastados.",IF(B18&gt;=3,"Aceite frío: la válvula abre pronto y llega poco caudal a los cojinetes; evite acelerar en frío.","Presiones dentro de lo normal"))</f>
        <v/>
      </c>
    </row>
    <row r="29">
      <c r="A29" s="2" t="inlineStr">
        <is>
          <t>Modelo didáctico: circuito laminar (p proporcional a Q y a la viscosidad) y bomba volumétrica con fugas internas.</t>
        </is>
      </c>
    </row>
  </sheetData>
  <dataValidations count="1">
    <dataValidation sqref="B9" showDropDown="0" showInputMessage="0" showErrorMessage="0" allowBlank="0" type="list">
      <formula1>'Datos bomba'!$A$3:$A$7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2">
      <c r="B2" s="33" t="inlineStr">
        <is>
          <t>Simuladores de la Unidad 4 · Refrigeración, lubricación y bloque motor</t>
        </is>
      </c>
    </row>
    <row r="3">
      <c r="B3" s="34" t="inlineStr">
        <is>
          <t>Simulador 1 · Ovalización y conicidad</t>
        </is>
      </c>
    </row>
    <row r="4" ht="45" customHeight="1">
      <c r="B4" s="35" t="inlineStr">
        <is>
          <t>Copie las seis lecturas del alexómetro de cada cilindro (práctica de comprobaciones del bloque). La hoja calcula ovalización, conicidad y desgaste, marca los cilindros fuera de límite y propone la sobremedida comercial para todo el bloque. Es la ficha de la práctica, automatizada.</t>
        </is>
      </c>
    </row>
    <row r="5">
      <c r="B5" s="34" t="inlineStr">
        <is>
          <t>Simulador 2 · Anticongelante</t>
        </is>
      </c>
    </row>
    <row r="6" ht="45" customHeight="1">
      <c r="B6" s="35" t="inlineStr">
        <is>
          <t>Calcule los litros de concentrado y de agua, cuánto drenar para corregir una mezcla y la temperatura de ebullición con y sin presión. Actividad: compare a qué temperatura hierve el agua sola en Loja con el circuito abierto y con el tapón cerrado.</t>
        </is>
      </c>
    </row>
    <row r="7">
      <c r="B7" s="34" t="inlineStr">
        <is>
          <t>Simulador 3 · Balance térmico</t>
        </is>
      </c>
    </row>
    <row r="8" ht="45" customHeight="1">
      <c r="B8" s="35" t="inlineStr">
        <is>
          <t>Reparte la energía del combustible entre trabajo, escape, refrigeración y otras pérdidas, y calcula el caudal que debe mover la bomba de agua. Actividad: ¿qué ocurre con el caudal necesario si el termostato reduce el salto de temperatura a 5 K?</t>
        </is>
      </c>
    </row>
    <row r="9">
      <c r="B9" s="34" t="inlineStr">
        <is>
          <t>Fuentes</t>
        </is>
      </c>
    </row>
    <row r="10" ht="45" customHeight="1">
      <c r="B10" s="35" t="inlineStr">
        <is>
          <t>González Calleja, D. (2018). Motores (2.ª ed.). Paraninfo. · Escudero, S., González, J., y Rivas, J. L. (2024). Cuaderno de prácticas: motores. Macmillan Iberia. · Datos del etilenglicol: valores orientativos de bibliografía técnica.</t>
        </is>
      </c>
    </row>
    <row r="12">
      <c r="B12" s="36" t="inlineStr">
        <is>
          <t>Simuladores añadidos (octubre 2026)</t>
        </is>
      </c>
    </row>
    <row r="13">
      <c r="B13" s="34" t="inlineStr">
        <is>
          <t>Simulador · Cigüeñal y Plastigage</t>
        </is>
      </c>
    </row>
    <row r="14" ht="45" customHeight="1">
      <c r="B14" s="35" t="inlineStr">
        <is>
          <t>Escriba las cuatro lecturas del micrómetro de cada muñón (dos planos y dos secciones) y la holgura leída con Plastigage. La hoja calcula ovalización, conicidad y desgaste, decide entre reutilizar, cambiar cojinetes o rectificar, y propone la medida de rectificado común (−0,25, −0,50, −0,75, −1,00 mm).</t>
        </is>
      </c>
    </row>
    <row r="15">
      <c r="B15" s="34" t="inlineStr">
        <is>
          <t>Simulador · Bomba de aceite</t>
        </is>
      </c>
    </row>
    <row r="16" ht="45" customHeight="1">
      <c r="B16" s="35" t="inlineStr">
        <is>
          <t>Relaciona el caudal de la bomba (Q = V·n) con la presión del circuito y la apertura de la válvula de descarga. Actividad: compare un aceite 15W-40 frío con un 0W-20 caliente en ralentí, y simule el desgaste de la bomba y de los cojinetes para explicar por qué se enciende el testigo de presión.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C8C"/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2">
      <c r="A2" s="3" t="inlineStr">
        <is>
          <t>Concentración</t>
        </is>
      </c>
      <c r="B2" s="3" t="inlineStr">
        <is>
          <t>Congelación (°C)</t>
        </is>
      </c>
      <c r="C2" s="3" t="inlineStr">
        <is>
          <t>Ebullición a 1 atm (°C)</t>
        </is>
      </c>
    </row>
    <row r="3">
      <c r="A3" s="37" t="n">
        <v>0</v>
      </c>
      <c r="B3" s="26" t="n">
        <v>0</v>
      </c>
      <c r="C3" s="38" t="n">
        <v>100</v>
      </c>
    </row>
    <row r="4">
      <c r="A4" s="37" t="n">
        <v>0.1</v>
      </c>
      <c r="B4" s="26" t="n">
        <v>-3.5</v>
      </c>
      <c r="C4" s="38" t="n">
        <v>101</v>
      </c>
    </row>
    <row r="5">
      <c r="A5" s="37" t="n">
        <v>0.2</v>
      </c>
      <c r="B5" s="26" t="n">
        <v>-7.8</v>
      </c>
      <c r="C5" s="38" t="n">
        <v>102</v>
      </c>
    </row>
    <row r="6">
      <c r="A6" s="37" t="n">
        <v>0.3</v>
      </c>
      <c r="B6" s="26" t="n">
        <v>-14</v>
      </c>
      <c r="C6" s="38" t="n">
        <v>104</v>
      </c>
    </row>
    <row r="7">
      <c r="A7" s="37" t="n">
        <v>0.4</v>
      </c>
      <c r="B7" s="26" t="n">
        <v>-23</v>
      </c>
      <c r="C7" s="38" t="n">
        <v>105</v>
      </c>
    </row>
    <row r="8">
      <c r="A8" s="37" t="n">
        <v>0.5</v>
      </c>
      <c r="B8" s="26" t="n">
        <v>-34</v>
      </c>
      <c r="C8" s="38" t="n">
        <v>107</v>
      </c>
    </row>
    <row r="9">
      <c r="A9" s="37" t="n">
        <v>0.6</v>
      </c>
      <c r="B9" s="26" t="n">
        <v>-48</v>
      </c>
      <c r="C9" s="38" t="n">
        <v>110</v>
      </c>
    </row>
    <row r="10">
      <c r="A10" s="37" t="n">
        <v>0.7</v>
      </c>
      <c r="B10" s="26" t="n">
        <v>-48</v>
      </c>
      <c r="C10" s="38" t="n">
        <v>112</v>
      </c>
    </row>
    <row r="12">
      <c r="A12" s="39" t="inlineStr">
        <is>
          <t>Fila 70 % solo para interpolar; el uso recomendado no supera el 60 %.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C8C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Aceites y barrido de régimen (no editar)</t>
        </is>
      </c>
    </row>
    <row r="2">
      <c r="A2" s="3" t="inlineStr">
        <is>
          <t>Aceite</t>
        </is>
      </c>
      <c r="B2" s="3" t="inlineStr">
        <is>
          <t>Viscosidad relativa μ</t>
        </is>
      </c>
      <c r="D2" s="3" t="inlineStr">
        <is>
          <t>rpm</t>
        </is>
      </c>
      <c r="E2" s="3" t="inlineStr">
        <is>
          <t>Presión (bar)</t>
        </is>
      </c>
      <c r="F2" s="3" t="inlineStr">
        <is>
          <t>Q bomba (L/min)</t>
        </is>
      </c>
      <c r="G2" s="3" t="inlineStr">
        <is>
          <t>Q a cojinetes (L/min)</t>
        </is>
      </c>
      <c r="H2" s="3" t="inlineStr">
        <is>
          <t>Apertura válvula</t>
        </is>
      </c>
    </row>
    <row r="3">
      <c r="A3" t="inlineStr">
        <is>
          <t>SAE 0W-20 caliente (100 °C)</t>
        </is>
      </c>
      <c r="B3" t="n">
        <v>0.6</v>
      </c>
      <c r="D3" t="n">
        <v>600</v>
      </c>
      <c r="E3">
        <f>MIN(('Bomba de aceite'!$B$19*'Bomba de aceite'!$B$18*'Bomba de aceite'!$B$5*'Bomba de aceite'!$B$6*D3/1000*'Bomba de aceite'!$B$7*(1-'Bomba de aceite'!$B$8/100)/(1+'Bomba de aceite'!$B$19*0.3)),'Bomba de aceite'!$B$10)</f>
        <v/>
      </c>
      <c r="F3">
        <f>'Bomba de aceite'!$B$5*'Bomba de aceite'!$B$6*D3/1000*'Bomba de aceite'!$B$7*(1-'Bomba de aceite'!$B$8/100)</f>
        <v/>
      </c>
      <c r="G3">
        <f>E3/('Bomba de aceite'!$B$19*'Bomba de aceite'!$B$18)</f>
        <v/>
      </c>
      <c r="H3">
        <f>'Bomba de aceite'!$B$10</f>
        <v/>
      </c>
    </row>
    <row r="4">
      <c r="A4" t="inlineStr">
        <is>
          <t>SAE 5W-30 caliente (100 °C)</t>
        </is>
      </c>
      <c r="B4" t="n">
        <v>0.8</v>
      </c>
      <c r="D4" t="n">
        <v>800</v>
      </c>
      <c r="E4">
        <f>MIN(('Bomba de aceite'!$B$19*'Bomba de aceite'!$B$18*'Bomba de aceite'!$B$5*'Bomba de aceite'!$B$6*D4/1000*'Bomba de aceite'!$B$7*(1-'Bomba de aceite'!$B$8/100)/(1+'Bomba de aceite'!$B$19*0.3)),'Bomba de aceite'!$B$10)</f>
        <v/>
      </c>
      <c r="F4">
        <f>'Bomba de aceite'!$B$5*'Bomba de aceite'!$B$6*D4/1000*'Bomba de aceite'!$B$7*(1-'Bomba de aceite'!$B$8/100)</f>
        <v/>
      </c>
      <c r="G4">
        <f>E4/('Bomba de aceite'!$B$19*'Bomba de aceite'!$B$18)</f>
        <v/>
      </c>
      <c r="H4">
        <f>'Bomba de aceite'!$B$10</f>
        <v/>
      </c>
    </row>
    <row r="5">
      <c r="A5" t="inlineStr">
        <is>
          <t>SAE 15W-40 caliente (100 °C)</t>
        </is>
      </c>
      <c r="B5" t="n">
        <v>1</v>
      </c>
      <c r="D5" t="n">
        <v>1000</v>
      </c>
      <c r="E5">
        <f>MIN(('Bomba de aceite'!$B$19*'Bomba de aceite'!$B$18*'Bomba de aceite'!$B$5*'Bomba de aceite'!$B$6*D5/1000*'Bomba de aceite'!$B$7*(1-'Bomba de aceite'!$B$8/100)/(1+'Bomba de aceite'!$B$19*0.3)),'Bomba de aceite'!$B$10)</f>
        <v/>
      </c>
      <c r="F5">
        <f>'Bomba de aceite'!$B$5*'Bomba de aceite'!$B$6*D5/1000*'Bomba de aceite'!$B$7*(1-'Bomba de aceite'!$B$8/100)</f>
        <v/>
      </c>
      <c r="G5">
        <f>E5/('Bomba de aceite'!$B$19*'Bomba de aceite'!$B$18)</f>
        <v/>
      </c>
      <c r="H5">
        <f>'Bomba de aceite'!$B$10</f>
        <v/>
      </c>
    </row>
    <row r="6">
      <c r="A6" t="inlineStr">
        <is>
          <t>SAE 15W-40 a 40 °C</t>
        </is>
      </c>
      <c r="B6" t="n">
        <v>3</v>
      </c>
      <c r="D6" t="n">
        <v>1200</v>
      </c>
      <c r="E6">
        <f>MIN(('Bomba de aceite'!$B$19*'Bomba de aceite'!$B$18*'Bomba de aceite'!$B$5*'Bomba de aceite'!$B$6*D6/1000*'Bomba de aceite'!$B$7*(1-'Bomba de aceite'!$B$8/100)/(1+'Bomba de aceite'!$B$19*0.3)),'Bomba de aceite'!$B$10)</f>
        <v/>
      </c>
      <c r="F6">
        <f>'Bomba de aceite'!$B$5*'Bomba de aceite'!$B$6*D6/1000*'Bomba de aceite'!$B$7*(1-'Bomba de aceite'!$B$8/100)</f>
        <v/>
      </c>
      <c r="G6">
        <f>E6/('Bomba de aceite'!$B$19*'Bomba de aceite'!$B$18)</f>
        <v/>
      </c>
      <c r="H6">
        <f>'Bomba de aceite'!$B$10</f>
        <v/>
      </c>
    </row>
    <row r="7">
      <c r="A7" t="inlineStr">
        <is>
          <t>SAE 15W-40 frío (20 °C)</t>
        </is>
      </c>
      <c r="B7" t="n">
        <v>6</v>
      </c>
      <c r="D7" t="n">
        <v>1400</v>
      </c>
      <c r="E7">
        <f>MIN(('Bomba de aceite'!$B$19*'Bomba de aceite'!$B$18*'Bomba de aceite'!$B$5*'Bomba de aceite'!$B$6*D7/1000*'Bomba de aceite'!$B$7*(1-'Bomba de aceite'!$B$8/100)/(1+'Bomba de aceite'!$B$19*0.3)),'Bomba de aceite'!$B$10)</f>
        <v/>
      </c>
      <c r="F7">
        <f>'Bomba de aceite'!$B$5*'Bomba de aceite'!$B$6*D7/1000*'Bomba de aceite'!$B$7*(1-'Bomba de aceite'!$B$8/100)</f>
        <v/>
      </c>
      <c r="G7">
        <f>E7/('Bomba de aceite'!$B$19*'Bomba de aceite'!$B$18)</f>
        <v/>
      </c>
      <c r="H7">
        <f>'Bomba de aceite'!$B$10</f>
        <v/>
      </c>
    </row>
    <row r="8">
      <c r="D8" t="n">
        <v>1600</v>
      </c>
      <c r="E8">
        <f>MIN(('Bomba de aceite'!$B$19*'Bomba de aceite'!$B$18*'Bomba de aceite'!$B$5*'Bomba de aceite'!$B$6*D8/1000*'Bomba de aceite'!$B$7*(1-'Bomba de aceite'!$B$8/100)/(1+'Bomba de aceite'!$B$19*0.3)),'Bomba de aceite'!$B$10)</f>
        <v/>
      </c>
      <c r="F8">
        <f>'Bomba de aceite'!$B$5*'Bomba de aceite'!$B$6*D8/1000*'Bomba de aceite'!$B$7*(1-'Bomba de aceite'!$B$8/100)</f>
        <v/>
      </c>
      <c r="G8">
        <f>E8/('Bomba de aceite'!$B$19*'Bomba de aceite'!$B$18)</f>
        <v/>
      </c>
      <c r="H8">
        <f>'Bomba de aceite'!$B$10</f>
        <v/>
      </c>
    </row>
    <row r="9">
      <c r="D9" t="n">
        <v>1800</v>
      </c>
      <c r="E9">
        <f>MIN(('Bomba de aceite'!$B$19*'Bomba de aceite'!$B$18*'Bomba de aceite'!$B$5*'Bomba de aceite'!$B$6*D9/1000*'Bomba de aceite'!$B$7*(1-'Bomba de aceite'!$B$8/100)/(1+'Bomba de aceite'!$B$19*0.3)),'Bomba de aceite'!$B$10)</f>
        <v/>
      </c>
      <c r="F9">
        <f>'Bomba de aceite'!$B$5*'Bomba de aceite'!$B$6*D9/1000*'Bomba de aceite'!$B$7*(1-'Bomba de aceite'!$B$8/100)</f>
        <v/>
      </c>
      <c r="G9">
        <f>E9/('Bomba de aceite'!$B$19*'Bomba de aceite'!$B$18)</f>
        <v/>
      </c>
      <c r="H9">
        <f>'Bomba de aceite'!$B$10</f>
        <v/>
      </c>
    </row>
    <row r="10">
      <c r="D10" t="n">
        <v>2000</v>
      </c>
      <c r="E10">
        <f>MIN(('Bomba de aceite'!$B$19*'Bomba de aceite'!$B$18*'Bomba de aceite'!$B$5*'Bomba de aceite'!$B$6*D10/1000*'Bomba de aceite'!$B$7*(1-'Bomba de aceite'!$B$8/100)/(1+'Bomba de aceite'!$B$19*0.3)),'Bomba de aceite'!$B$10)</f>
        <v/>
      </c>
      <c r="F10">
        <f>'Bomba de aceite'!$B$5*'Bomba de aceite'!$B$6*D10/1000*'Bomba de aceite'!$B$7*(1-'Bomba de aceite'!$B$8/100)</f>
        <v/>
      </c>
      <c r="G10">
        <f>E10/('Bomba de aceite'!$B$19*'Bomba de aceite'!$B$18)</f>
        <v/>
      </c>
      <c r="H10">
        <f>'Bomba de aceite'!$B$10</f>
        <v/>
      </c>
    </row>
    <row r="11">
      <c r="D11" t="n">
        <v>2200</v>
      </c>
      <c r="E11">
        <f>MIN(('Bomba de aceite'!$B$19*'Bomba de aceite'!$B$18*'Bomba de aceite'!$B$5*'Bomba de aceite'!$B$6*D11/1000*'Bomba de aceite'!$B$7*(1-'Bomba de aceite'!$B$8/100)/(1+'Bomba de aceite'!$B$19*0.3)),'Bomba de aceite'!$B$10)</f>
        <v/>
      </c>
      <c r="F11">
        <f>'Bomba de aceite'!$B$5*'Bomba de aceite'!$B$6*D11/1000*'Bomba de aceite'!$B$7*(1-'Bomba de aceite'!$B$8/100)</f>
        <v/>
      </c>
      <c r="G11">
        <f>E11/('Bomba de aceite'!$B$19*'Bomba de aceite'!$B$18)</f>
        <v/>
      </c>
      <c r="H11">
        <f>'Bomba de aceite'!$B$10</f>
        <v/>
      </c>
    </row>
    <row r="12">
      <c r="D12" t="n">
        <v>2400</v>
      </c>
      <c r="E12">
        <f>MIN(('Bomba de aceite'!$B$19*'Bomba de aceite'!$B$18*'Bomba de aceite'!$B$5*'Bomba de aceite'!$B$6*D12/1000*'Bomba de aceite'!$B$7*(1-'Bomba de aceite'!$B$8/100)/(1+'Bomba de aceite'!$B$19*0.3)),'Bomba de aceite'!$B$10)</f>
        <v/>
      </c>
      <c r="F12">
        <f>'Bomba de aceite'!$B$5*'Bomba de aceite'!$B$6*D12/1000*'Bomba de aceite'!$B$7*(1-'Bomba de aceite'!$B$8/100)</f>
        <v/>
      </c>
      <c r="G12">
        <f>E12/('Bomba de aceite'!$B$19*'Bomba de aceite'!$B$18)</f>
        <v/>
      </c>
      <c r="H12">
        <f>'Bomba de aceite'!$B$10</f>
        <v/>
      </c>
    </row>
    <row r="13">
      <c r="D13" t="n">
        <v>2600</v>
      </c>
      <c r="E13">
        <f>MIN(('Bomba de aceite'!$B$19*'Bomba de aceite'!$B$18*'Bomba de aceite'!$B$5*'Bomba de aceite'!$B$6*D13/1000*'Bomba de aceite'!$B$7*(1-'Bomba de aceite'!$B$8/100)/(1+'Bomba de aceite'!$B$19*0.3)),'Bomba de aceite'!$B$10)</f>
        <v/>
      </c>
      <c r="F13">
        <f>'Bomba de aceite'!$B$5*'Bomba de aceite'!$B$6*D13/1000*'Bomba de aceite'!$B$7*(1-'Bomba de aceite'!$B$8/100)</f>
        <v/>
      </c>
      <c r="G13">
        <f>E13/('Bomba de aceite'!$B$19*'Bomba de aceite'!$B$18)</f>
        <v/>
      </c>
      <c r="H13">
        <f>'Bomba de aceite'!$B$10</f>
        <v/>
      </c>
    </row>
    <row r="14">
      <c r="D14" t="n">
        <v>2800</v>
      </c>
      <c r="E14">
        <f>MIN(('Bomba de aceite'!$B$19*'Bomba de aceite'!$B$18*'Bomba de aceite'!$B$5*'Bomba de aceite'!$B$6*D14/1000*'Bomba de aceite'!$B$7*(1-'Bomba de aceite'!$B$8/100)/(1+'Bomba de aceite'!$B$19*0.3)),'Bomba de aceite'!$B$10)</f>
        <v/>
      </c>
      <c r="F14">
        <f>'Bomba de aceite'!$B$5*'Bomba de aceite'!$B$6*D14/1000*'Bomba de aceite'!$B$7*(1-'Bomba de aceite'!$B$8/100)</f>
        <v/>
      </c>
      <c r="G14">
        <f>E14/('Bomba de aceite'!$B$19*'Bomba de aceite'!$B$18)</f>
        <v/>
      </c>
      <c r="H14">
        <f>'Bomba de aceite'!$B$10</f>
        <v/>
      </c>
    </row>
    <row r="15">
      <c r="D15" t="n">
        <v>3000</v>
      </c>
      <c r="E15">
        <f>MIN(('Bomba de aceite'!$B$19*'Bomba de aceite'!$B$18*'Bomba de aceite'!$B$5*'Bomba de aceite'!$B$6*D15/1000*'Bomba de aceite'!$B$7*(1-'Bomba de aceite'!$B$8/100)/(1+'Bomba de aceite'!$B$19*0.3)),'Bomba de aceite'!$B$10)</f>
        <v/>
      </c>
      <c r="F15">
        <f>'Bomba de aceite'!$B$5*'Bomba de aceite'!$B$6*D15/1000*'Bomba de aceite'!$B$7*(1-'Bomba de aceite'!$B$8/100)</f>
        <v/>
      </c>
      <c r="G15">
        <f>E15/('Bomba de aceite'!$B$19*'Bomba de aceite'!$B$18)</f>
        <v/>
      </c>
      <c r="H15">
        <f>'Bomba de aceite'!$B$10</f>
        <v/>
      </c>
    </row>
    <row r="16">
      <c r="D16" t="n">
        <v>3200</v>
      </c>
      <c r="E16">
        <f>MIN(('Bomba de aceite'!$B$19*'Bomba de aceite'!$B$18*'Bomba de aceite'!$B$5*'Bomba de aceite'!$B$6*D16/1000*'Bomba de aceite'!$B$7*(1-'Bomba de aceite'!$B$8/100)/(1+'Bomba de aceite'!$B$19*0.3)),'Bomba de aceite'!$B$10)</f>
        <v/>
      </c>
      <c r="F16">
        <f>'Bomba de aceite'!$B$5*'Bomba de aceite'!$B$6*D16/1000*'Bomba de aceite'!$B$7*(1-'Bomba de aceite'!$B$8/100)</f>
        <v/>
      </c>
      <c r="G16">
        <f>E16/('Bomba de aceite'!$B$19*'Bomba de aceite'!$B$18)</f>
        <v/>
      </c>
      <c r="H16">
        <f>'Bomba de aceite'!$B$10</f>
        <v/>
      </c>
    </row>
    <row r="17">
      <c r="D17" t="n">
        <v>3400</v>
      </c>
      <c r="E17">
        <f>MIN(('Bomba de aceite'!$B$19*'Bomba de aceite'!$B$18*'Bomba de aceite'!$B$5*'Bomba de aceite'!$B$6*D17/1000*'Bomba de aceite'!$B$7*(1-'Bomba de aceite'!$B$8/100)/(1+'Bomba de aceite'!$B$19*0.3)),'Bomba de aceite'!$B$10)</f>
        <v/>
      </c>
      <c r="F17">
        <f>'Bomba de aceite'!$B$5*'Bomba de aceite'!$B$6*D17/1000*'Bomba de aceite'!$B$7*(1-'Bomba de aceite'!$B$8/100)</f>
        <v/>
      </c>
      <c r="G17">
        <f>E17/('Bomba de aceite'!$B$19*'Bomba de aceite'!$B$18)</f>
        <v/>
      </c>
      <c r="H17">
        <f>'Bomba de aceite'!$B$10</f>
        <v/>
      </c>
    </row>
    <row r="18">
      <c r="D18" t="n">
        <v>3600</v>
      </c>
      <c r="E18">
        <f>MIN(('Bomba de aceite'!$B$19*'Bomba de aceite'!$B$18*'Bomba de aceite'!$B$5*'Bomba de aceite'!$B$6*D18/1000*'Bomba de aceite'!$B$7*(1-'Bomba de aceite'!$B$8/100)/(1+'Bomba de aceite'!$B$19*0.3)),'Bomba de aceite'!$B$10)</f>
        <v/>
      </c>
      <c r="F18">
        <f>'Bomba de aceite'!$B$5*'Bomba de aceite'!$B$6*D18/1000*'Bomba de aceite'!$B$7*(1-'Bomba de aceite'!$B$8/100)</f>
        <v/>
      </c>
      <c r="G18">
        <f>E18/('Bomba de aceite'!$B$19*'Bomba de aceite'!$B$18)</f>
        <v/>
      </c>
      <c r="H18">
        <f>'Bomba de aceite'!$B$10</f>
        <v/>
      </c>
    </row>
    <row r="19">
      <c r="D19" t="n">
        <v>3800</v>
      </c>
      <c r="E19">
        <f>MIN(('Bomba de aceite'!$B$19*'Bomba de aceite'!$B$18*'Bomba de aceite'!$B$5*'Bomba de aceite'!$B$6*D19/1000*'Bomba de aceite'!$B$7*(1-'Bomba de aceite'!$B$8/100)/(1+'Bomba de aceite'!$B$19*0.3)),'Bomba de aceite'!$B$10)</f>
        <v/>
      </c>
      <c r="F19">
        <f>'Bomba de aceite'!$B$5*'Bomba de aceite'!$B$6*D19/1000*'Bomba de aceite'!$B$7*(1-'Bomba de aceite'!$B$8/100)</f>
        <v/>
      </c>
      <c r="G19">
        <f>E19/('Bomba de aceite'!$B$19*'Bomba de aceite'!$B$18)</f>
        <v/>
      </c>
      <c r="H19">
        <f>'Bomba de aceite'!$B$10</f>
        <v/>
      </c>
    </row>
    <row r="20">
      <c r="D20" t="n">
        <v>4000</v>
      </c>
      <c r="E20">
        <f>MIN(('Bomba de aceite'!$B$19*'Bomba de aceite'!$B$18*'Bomba de aceite'!$B$5*'Bomba de aceite'!$B$6*D20/1000*'Bomba de aceite'!$B$7*(1-'Bomba de aceite'!$B$8/100)/(1+'Bomba de aceite'!$B$19*0.3)),'Bomba de aceite'!$B$10)</f>
        <v/>
      </c>
      <c r="F20">
        <f>'Bomba de aceite'!$B$5*'Bomba de aceite'!$B$6*D20/1000*'Bomba de aceite'!$B$7*(1-'Bomba de aceite'!$B$8/100)</f>
        <v/>
      </c>
      <c r="G20">
        <f>E20/('Bomba de aceite'!$B$19*'Bomba de aceite'!$B$18)</f>
        <v/>
      </c>
      <c r="H20">
        <f>'Bomba de aceite'!$B$10</f>
        <v/>
      </c>
    </row>
    <row r="21">
      <c r="D21" t="n">
        <v>4200</v>
      </c>
      <c r="E21">
        <f>MIN(('Bomba de aceite'!$B$19*'Bomba de aceite'!$B$18*'Bomba de aceite'!$B$5*'Bomba de aceite'!$B$6*D21/1000*'Bomba de aceite'!$B$7*(1-'Bomba de aceite'!$B$8/100)/(1+'Bomba de aceite'!$B$19*0.3)),'Bomba de aceite'!$B$10)</f>
        <v/>
      </c>
      <c r="F21">
        <f>'Bomba de aceite'!$B$5*'Bomba de aceite'!$B$6*D21/1000*'Bomba de aceite'!$B$7*(1-'Bomba de aceite'!$B$8/100)</f>
        <v/>
      </c>
      <c r="G21">
        <f>E21/('Bomba de aceite'!$B$19*'Bomba de aceite'!$B$18)</f>
        <v/>
      </c>
      <c r="H21">
        <f>'Bomba de aceite'!$B$10</f>
        <v/>
      </c>
    </row>
    <row r="22">
      <c r="D22" t="n">
        <v>4400</v>
      </c>
      <c r="E22">
        <f>MIN(('Bomba de aceite'!$B$19*'Bomba de aceite'!$B$18*'Bomba de aceite'!$B$5*'Bomba de aceite'!$B$6*D22/1000*'Bomba de aceite'!$B$7*(1-'Bomba de aceite'!$B$8/100)/(1+'Bomba de aceite'!$B$19*0.3)),'Bomba de aceite'!$B$10)</f>
        <v/>
      </c>
      <c r="F22">
        <f>'Bomba de aceite'!$B$5*'Bomba de aceite'!$B$6*D22/1000*'Bomba de aceite'!$B$7*(1-'Bomba de aceite'!$B$8/100)</f>
        <v/>
      </c>
      <c r="G22">
        <f>E22/('Bomba de aceite'!$B$19*'Bomba de aceite'!$B$18)</f>
        <v/>
      </c>
      <c r="H22">
        <f>'Bomba de aceite'!$B$10</f>
        <v/>
      </c>
    </row>
    <row r="23">
      <c r="D23" t="n">
        <v>4600</v>
      </c>
      <c r="E23">
        <f>MIN(('Bomba de aceite'!$B$19*'Bomba de aceite'!$B$18*'Bomba de aceite'!$B$5*'Bomba de aceite'!$B$6*D23/1000*'Bomba de aceite'!$B$7*(1-'Bomba de aceite'!$B$8/100)/(1+'Bomba de aceite'!$B$19*0.3)),'Bomba de aceite'!$B$10)</f>
        <v/>
      </c>
      <c r="F23">
        <f>'Bomba de aceite'!$B$5*'Bomba de aceite'!$B$6*D23/1000*'Bomba de aceite'!$B$7*(1-'Bomba de aceite'!$B$8/100)</f>
        <v/>
      </c>
      <c r="G23">
        <f>E23/('Bomba de aceite'!$B$19*'Bomba de aceite'!$B$18)</f>
        <v/>
      </c>
      <c r="H23">
        <f>'Bomba de aceite'!$B$10</f>
        <v/>
      </c>
    </row>
    <row r="24">
      <c r="D24" t="n">
        <v>4800</v>
      </c>
      <c r="E24">
        <f>MIN(('Bomba de aceite'!$B$19*'Bomba de aceite'!$B$18*'Bomba de aceite'!$B$5*'Bomba de aceite'!$B$6*D24/1000*'Bomba de aceite'!$B$7*(1-'Bomba de aceite'!$B$8/100)/(1+'Bomba de aceite'!$B$19*0.3)),'Bomba de aceite'!$B$10)</f>
        <v/>
      </c>
      <c r="F24">
        <f>'Bomba de aceite'!$B$5*'Bomba de aceite'!$B$6*D24/1000*'Bomba de aceite'!$B$7*(1-'Bomba de aceite'!$B$8/100)</f>
        <v/>
      </c>
      <c r="G24">
        <f>E24/('Bomba de aceite'!$B$19*'Bomba de aceite'!$B$18)</f>
        <v/>
      </c>
      <c r="H24">
        <f>'Bomba de aceite'!$B$10</f>
        <v/>
      </c>
    </row>
    <row r="25">
      <c r="D25" t="n">
        <v>5000</v>
      </c>
      <c r="E25">
        <f>MIN(('Bomba de aceite'!$B$19*'Bomba de aceite'!$B$18*'Bomba de aceite'!$B$5*'Bomba de aceite'!$B$6*D25/1000*'Bomba de aceite'!$B$7*(1-'Bomba de aceite'!$B$8/100)/(1+'Bomba de aceite'!$B$19*0.3)),'Bomba de aceite'!$B$10)</f>
        <v/>
      </c>
      <c r="F25">
        <f>'Bomba de aceite'!$B$5*'Bomba de aceite'!$B$6*D25/1000*'Bomba de aceite'!$B$7*(1-'Bomba de aceite'!$B$8/100)</f>
        <v/>
      </c>
      <c r="G25">
        <f>E25/('Bomba de aceite'!$B$19*'Bomba de aceite'!$B$18)</f>
        <v/>
      </c>
      <c r="H25">
        <f>'Bomba de aceite'!$B$10</f>
        <v/>
      </c>
    </row>
    <row r="26">
      <c r="D26" t="n">
        <v>5200</v>
      </c>
      <c r="E26">
        <f>MIN(('Bomba de aceite'!$B$19*'Bomba de aceite'!$B$18*'Bomba de aceite'!$B$5*'Bomba de aceite'!$B$6*D26/1000*'Bomba de aceite'!$B$7*(1-'Bomba de aceite'!$B$8/100)/(1+'Bomba de aceite'!$B$19*0.3)),'Bomba de aceite'!$B$10)</f>
        <v/>
      </c>
      <c r="F26">
        <f>'Bomba de aceite'!$B$5*'Bomba de aceite'!$B$6*D26/1000*'Bomba de aceite'!$B$7*(1-'Bomba de aceite'!$B$8/100)</f>
        <v/>
      </c>
      <c r="G26">
        <f>E26/('Bomba de aceite'!$B$19*'Bomba de aceite'!$B$18)</f>
        <v/>
      </c>
      <c r="H26">
        <f>'Bomba de aceite'!$B$10</f>
        <v/>
      </c>
    </row>
    <row r="27">
      <c r="D27" t="n">
        <v>5400</v>
      </c>
      <c r="E27">
        <f>MIN(('Bomba de aceite'!$B$19*'Bomba de aceite'!$B$18*'Bomba de aceite'!$B$5*'Bomba de aceite'!$B$6*D27/1000*'Bomba de aceite'!$B$7*(1-'Bomba de aceite'!$B$8/100)/(1+'Bomba de aceite'!$B$19*0.3)),'Bomba de aceite'!$B$10)</f>
        <v/>
      </c>
      <c r="F27">
        <f>'Bomba de aceite'!$B$5*'Bomba de aceite'!$B$6*D27/1000*'Bomba de aceite'!$B$7*(1-'Bomba de aceite'!$B$8/100)</f>
        <v/>
      </c>
      <c r="G27">
        <f>E27/('Bomba de aceite'!$B$19*'Bomba de aceite'!$B$18)</f>
        <v/>
      </c>
      <c r="H27">
        <f>'Bomba de aceite'!$B$10</f>
        <v/>
      </c>
    </row>
    <row r="28">
      <c r="D28" t="n">
        <v>5600</v>
      </c>
      <c r="E28">
        <f>MIN(('Bomba de aceite'!$B$19*'Bomba de aceite'!$B$18*'Bomba de aceite'!$B$5*'Bomba de aceite'!$B$6*D28/1000*'Bomba de aceite'!$B$7*(1-'Bomba de aceite'!$B$8/100)/(1+'Bomba de aceite'!$B$19*0.3)),'Bomba de aceite'!$B$10)</f>
        <v/>
      </c>
      <c r="F28">
        <f>'Bomba de aceite'!$B$5*'Bomba de aceite'!$B$6*D28/1000*'Bomba de aceite'!$B$7*(1-'Bomba de aceite'!$B$8/100)</f>
        <v/>
      </c>
      <c r="G28">
        <f>E28/('Bomba de aceite'!$B$19*'Bomba de aceite'!$B$18)</f>
        <v/>
      </c>
      <c r="H28">
        <f>'Bomba de aceite'!$B$10</f>
        <v/>
      </c>
    </row>
    <row r="29">
      <c r="D29" t="n">
        <v>5800</v>
      </c>
      <c r="E29">
        <f>MIN(('Bomba de aceite'!$B$19*'Bomba de aceite'!$B$18*'Bomba de aceite'!$B$5*'Bomba de aceite'!$B$6*D29/1000*'Bomba de aceite'!$B$7*(1-'Bomba de aceite'!$B$8/100)/(1+'Bomba de aceite'!$B$19*0.3)),'Bomba de aceite'!$B$10)</f>
        <v/>
      </c>
      <c r="F29">
        <f>'Bomba de aceite'!$B$5*'Bomba de aceite'!$B$6*D29/1000*'Bomba de aceite'!$B$7*(1-'Bomba de aceite'!$B$8/100)</f>
        <v/>
      </c>
      <c r="G29">
        <f>E29/('Bomba de aceite'!$B$19*'Bomba de aceite'!$B$18)</f>
        <v/>
      </c>
      <c r="H29">
        <f>'Bomba de aceite'!$B$10</f>
        <v/>
      </c>
    </row>
    <row r="30">
      <c r="D30" t="n">
        <v>6000</v>
      </c>
      <c r="E30">
        <f>MIN(('Bomba de aceite'!$B$19*'Bomba de aceite'!$B$18*'Bomba de aceite'!$B$5*'Bomba de aceite'!$B$6*D30/1000*'Bomba de aceite'!$B$7*(1-'Bomba de aceite'!$B$8/100)/(1+'Bomba de aceite'!$B$19*0.3)),'Bomba de aceite'!$B$10)</f>
        <v/>
      </c>
      <c r="F30">
        <f>'Bomba de aceite'!$B$5*'Bomba de aceite'!$B$6*D30/1000*'Bomba de aceite'!$B$7*(1-'Bomba de aceite'!$B$8/100)</f>
        <v/>
      </c>
      <c r="G30">
        <f>E30/('Bomba de aceite'!$B$19*'Bomba de aceite'!$B$18)</f>
        <v/>
      </c>
      <c r="H30">
        <f>'Bomba de aceite'!$B$10</f>
        <v/>
      </c>
    </row>
    <row r="31">
      <c r="D31" t="n">
        <v>6200</v>
      </c>
      <c r="E31">
        <f>MIN(('Bomba de aceite'!$B$19*'Bomba de aceite'!$B$18*'Bomba de aceite'!$B$5*'Bomba de aceite'!$B$6*D31/1000*'Bomba de aceite'!$B$7*(1-'Bomba de aceite'!$B$8/100)/(1+'Bomba de aceite'!$B$19*0.3)),'Bomba de aceite'!$B$10)</f>
        <v/>
      </c>
      <c r="F31">
        <f>'Bomba de aceite'!$B$5*'Bomba de aceite'!$B$6*D31/1000*'Bomba de aceite'!$B$7*(1-'Bomba de aceite'!$B$8/100)</f>
        <v/>
      </c>
      <c r="G31">
        <f>E31/('Bomba de aceite'!$B$19*'Bomba de aceite'!$B$18)</f>
        <v/>
      </c>
      <c r="H31">
        <f>'Bomba de aceite'!$B$10</f>
        <v/>
      </c>
    </row>
    <row r="32">
      <c r="D32" t="n">
        <v>6400</v>
      </c>
      <c r="E32">
        <f>MIN(('Bomba de aceite'!$B$19*'Bomba de aceite'!$B$18*'Bomba de aceite'!$B$5*'Bomba de aceite'!$B$6*D32/1000*'Bomba de aceite'!$B$7*(1-'Bomba de aceite'!$B$8/100)/(1+'Bomba de aceite'!$B$19*0.3)),'Bomba de aceite'!$B$10)</f>
        <v/>
      </c>
      <c r="F32">
        <f>'Bomba de aceite'!$B$5*'Bomba de aceite'!$B$6*D32/1000*'Bomba de aceite'!$B$7*(1-'Bomba de aceite'!$B$8/100)</f>
        <v/>
      </c>
      <c r="G32">
        <f>E32/('Bomba de aceite'!$B$19*'Bomba de aceite'!$B$18)</f>
        <v/>
      </c>
      <c r="H32">
        <f>'Bomba de aceite'!$B$10</f>
        <v/>
      </c>
    </row>
    <row r="33">
      <c r="D33" t="n">
        <v>6600</v>
      </c>
      <c r="E33">
        <f>MIN(('Bomba de aceite'!$B$19*'Bomba de aceite'!$B$18*'Bomba de aceite'!$B$5*'Bomba de aceite'!$B$6*D33/1000*'Bomba de aceite'!$B$7*(1-'Bomba de aceite'!$B$8/100)/(1+'Bomba de aceite'!$B$19*0.3)),'Bomba de aceite'!$B$10)</f>
        <v/>
      </c>
      <c r="F33">
        <f>'Bomba de aceite'!$B$5*'Bomba de aceite'!$B$6*D33/1000*'Bomba de aceite'!$B$7*(1-'Bomba de aceite'!$B$8/100)</f>
        <v/>
      </c>
      <c r="G33">
        <f>E33/('Bomba de aceite'!$B$19*'Bomba de aceite'!$B$18)</f>
        <v/>
      </c>
      <c r="H33">
        <f>'Bomba de aceite'!$B$10</f>
        <v/>
      </c>
    </row>
    <row r="34">
      <c r="D34" t="n">
        <v>6800</v>
      </c>
      <c r="E34">
        <f>MIN(('Bomba de aceite'!$B$19*'Bomba de aceite'!$B$18*'Bomba de aceite'!$B$5*'Bomba de aceite'!$B$6*D34/1000*'Bomba de aceite'!$B$7*(1-'Bomba de aceite'!$B$8/100)/(1+'Bomba de aceite'!$B$19*0.3)),'Bomba de aceite'!$B$10)</f>
        <v/>
      </c>
      <c r="F34">
        <f>'Bomba de aceite'!$B$5*'Bomba de aceite'!$B$6*D34/1000*'Bomba de aceite'!$B$7*(1-'Bomba de aceite'!$B$8/100)</f>
        <v/>
      </c>
      <c r="G34">
        <f>E34/('Bomba de aceite'!$B$19*'Bomba de aceite'!$B$18)</f>
        <v/>
      </c>
      <c r="H34">
        <f>'Bomba de aceite'!$B$10</f>
        <v/>
      </c>
    </row>
    <row r="35">
      <c r="D35" t="n">
        <v>7000</v>
      </c>
      <c r="E35">
        <f>MIN(('Bomba de aceite'!$B$19*'Bomba de aceite'!$B$18*'Bomba de aceite'!$B$5*'Bomba de aceite'!$B$6*D35/1000*'Bomba de aceite'!$B$7*(1-'Bomba de aceite'!$B$8/100)/(1+'Bomba de aceite'!$B$19*0.3)),'Bomba de aceite'!$B$10)</f>
        <v/>
      </c>
      <c r="F35">
        <f>'Bomba de aceite'!$B$5*'Bomba de aceite'!$B$6*D35/1000*'Bomba de aceite'!$B$7*(1-'Bomba de aceite'!$B$8/100)</f>
        <v/>
      </c>
      <c r="G35">
        <f>E35/('Bomba de aceite'!$B$19*'Bomba de aceite'!$B$18)</f>
        <v/>
      </c>
      <c r="H35">
        <f>'Bomba de aceite'!$B$10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2026-10-15T12:17:54Z</dcterms:created>
  <dcterms:modified xmlns:dcterms="http://purl.org/dc/terms/" xmlns:xsi="http://www.w3.org/2001/XMLSchema-instance" xsi:type="dcterms:W3CDTF">2026-10-15T12:17:54Z</dcterms:modified>
</cp:coreProperties>
</file>