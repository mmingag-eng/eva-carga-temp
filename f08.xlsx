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Ciclo_Otto" sheetId="2" state="visible" r:id="rId4"/>
    <sheet name="Ciclo_Diesel" sheetId="3" state="visible" r:id="rId5"/>
    <sheet name="Rendimiento_r" sheetId="4" state="visible" r:id="rId6"/>
    <sheet name="Geometria" sheetId="5" state="visible" r:id="rId7"/>
    <sheet name="Curvas" sheetId="6" state="visible" r:id="rId8"/>
    <sheet name="Biela_manivel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<sst xmlns="http://schemas.openxmlformats.org/spreadsheetml/2006/main" count="424" uniqueCount="176">
  <si>
    <t xml:space="preserve">Simulador de motores – Introducción a Motores (MA.01.04)</t>
  </si>
  <si>
    <t xml:space="preserve">Instituto Superior Tecnológico Sudamericano · Carrera de Mecánica Automotriz · PAO octubre 2026 – febrero 2027</t>
  </si>
  <si>
    <t xml:space="preserve">Hoja</t>
  </si>
  <si>
    <t xml:space="preserve">Qué simula</t>
  </si>
  <si>
    <t xml:space="preserve">Unidad del PEA</t>
  </si>
  <si>
    <t xml:space="preserve">Ciclo_Otto</t>
  </si>
  <si>
    <t xml:space="preserve">Ciclo Otto ideal de aire estándar: estados, trabajo, rendimiento, PME y diagramas P–v y T–s</t>
  </si>
  <si>
    <t xml:space="preserve">2.4 Ciclo Otto</t>
  </si>
  <si>
    <t xml:space="preserve">Ciclo_Diesel</t>
  </si>
  <si>
    <t xml:space="preserve">Ciclo Diesel ideal: estados, rendimiento y diagramas P–v y T–s; comparación con el Otto</t>
  </si>
  <si>
    <t xml:space="preserve">2.5 y 2.6 Ciclo Diesel; Otto vs Diesel</t>
  </si>
  <si>
    <t xml:space="preserve">Rendimiento_r</t>
  </si>
  <si>
    <t xml:space="preserve">Rendimiento teórico en función de la relación de compresión (Otto y Diesel)</t>
  </si>
  <si>
    <t xml:space="preserve">2.4.2 Influencia de la relación de compresión</t>
  </si>
  <si>
    <t xml:space="preserve">Geometria</t>
  </si>
  <si>
    <t xml:space="preserve">Cilindrada, relación de compresión, efecto de la junta de culata y aplanado de la culata</t>
  </si>
  <si>
    <t xml:space="preserve">4.1 y 4.2 Geometría y parámetros</t>
  </si>
  <si>
    <t xml:space="preserve">Curvas</t>
  </si>
  <si>
    <t xml:space="preserve">Curvas características a partir del par medido: potencia, PME, consumo específico y elasticidad</t>
  </si>
  <si>
    <t xml:space="preserve">4.3 Características del motor</t>
  </si>
  <si>
    <t xml:space="preserve">Biela_manivela</t>
  </si>
  <si>
    <t xml:space="preserve">Posición, velocidad y aceleración del pistón según el ángulo del cigüeñal</t>
  </si>
  <si>
    <t xml:space="preserve">4.4 Mecanismo biela–manivela</t>
  </si>
  <si>
    <t xml:space="preserve">Cómo usar el simulador</t>
  </si>
  <si>
    <t xml:space="preserve">1. Modifique solo las celdas amarillas con texto azul (datos de entrada). Todo lo demás se calcula con fórmulas y los diagramas se actualizan solos.</t>
  </si>
  <si>
    <t xml:space="preserve">2. Cada hoja trae un ejemplo resuelto con datos de la guía didáctica o de la Actividad de aprendizaje N.° 1; compare sus cálculos a mano con los resultados.</t>
  </si>
  <si>
    <t xml:space="preserve">3. Modelo de aire estándar con calores específicos constantes (cv = 0,718 kJ/kg·K; cp = 1,005 kJ/kg·K; R = 0,287 kJ/kg·K; k = 1,4), como en Çengel y Boles (2012).</t>
  </si>
  <si>
    <t xml:space="preserve">4. Presión atmosférica de Loja ≈ 79 kPa (unos 2 060 m de altitud): úsela como P1 para ver la pérdida de PME de un motor atmosférico.</t>
  </si>
  <si>
    <t xml:space="preserve">5. Actividad sugerida: cambie un dato, anote el resultado en una tabla y explique la tendencia (por ejemplo, η frente a r o Rc frente al espesor de la junta).</t>
  </si>
  <si>
    <t xml:space="preserve">Leyenda</t>
  </si>
  <si>
    <t xml:space="preserve">Dato de entrada</t>
  </si>
  <si>
    <t xml:space="preserve">Resultado calculado</t>
  </si>
  <si>
    <t xml:space="preserve">Referencias: Çengel, Y. A., y Boles, M. A. (2012). Termodinámica (7.ª ed.). McGraw-Hill · Escudero Fernández, S. et al. (2011). Motores. Macmillan · Payri, F., y Desantes, J. M. (2011). Motores de combustión interna alternativos. Reverté.</t>
  </si>
  <si>
    <t xml:space="preserve">Ciclo Otto ideal de aire estándar</t>
  </si>
  <si>
    <t xml:space="preserve">Unidad 2 · 2.4. Procesos: 1→2 compresión isentrópica · 2→3 aporte de calor a v = cte · 3→4 expansión isentrópica · 4→1 rechazo de calor a v = cte</t>
  </si>
  <si>
    <t xml:space="preserve">Datos de entrada</t>
  </si>
  <si>
    <t xml:space="preserve">Presión inicial P1</t>
  </si>
  <si>
    <t xml:space="preserve">kPa</t>
  </si>
  <si>
    <t xml:space="preserve">Admisión al final de la carrera (Loja ≈ 79 kPa)</t>
  </si>
  <si>
    <t xml:space="preserve">Ejemplo: Çengel y Boles (2012), ejemplo 9-2 (r = 8; 100 kPa; 17 °C; 800 kJ/kg). Respuestas del libro (calores variables): η = 52,8 %; con cv constante se obtiene 56,5 %.</t>
  </si>
  <si>
    <t xml:space="preserve">Temperatura inicial T1</t>
  </si>
  <si>
    <t xml:space="preserve">K</t>
  </si>
  <si>
    <t xml:space="preserve">17 °C</t>
  </si>
  <si>
    <t xml:space="preserve">Relación de compresión r</t>
  </si>
  <si>
    <t xml:space="preserve">–</t>
  </si>
  <si>
    <t xml:space="preserve">Gasolina: 8 a 12</t>
  </si>
  <si>
    <t xml:space="preserve">Calor suministrado q_entrada</t>
  </si>
  <si>
    <t xml:space="preserve">kJ/kg</t>
  </si>
  <si>
    <t xml:space="preserve">Energía de la combustión por kg de aire</t>
  </si>
  <si>
    <t xml:space="preserve">Relación de calores k</t>
  </si>
  <si>
    <t xml:space="preserve">Calor específico cv</t>
  </si>
  <si>
    <t xml:space="preserve">kJ/kg·K</t>
  </si>
  <si>
    <t xml:space="preserve">Constante del aire R</t>
  </si>
  <si>
    <t xml:space="preserve">Estados del ciclo</t>
  </si>
  <si>
    <t xml:space="preserve">Estado</t>
  </si>
  <si>
    <t xml:space="preserve">P (kPa)</t>
  </si>
  <si>
    <t xml:space="preserve">v (m³/kg)</t>
  </si>
  <si>
    <t xml:space="preserve">T (K)</t>
  </si>
  <si>
    <t xml:space="preserve">s – s1 (kJ/kg·K)</t>
  </si>
  <si>
    <t xml:space="preserve">Resultados</t>
  </si>
  <si>
    <t xml:space="preserve">Calor rechazado q_salida</t>
  </si>
  <si>
    <t xml:space="preserve">Trabajo neto w_neto</t>
  </si>
  <si>
    <t xml:space="preserve">Rendimiento térmico η (balance)</t>
  </si>
  <si>
    <t xml:space="preserve">Rendimiento térmico η = 1 – 1/r^(k–1)</t>
  </si>
  <si>
    <t xml:space="preserve">Presión máxima P3</t>
  </si>
  <si>
    <t xml:space="preserve">bar</t>
  </si>
  <si>
    <t xml:space="preserve">Presión media efectiva PME</t>
  </si>
  <si>
    <t xml:space="preserve">Temperatura máxima T3</t>
  </si>
  <si>
    <t xml:space="preserve">°C</t>
  </si>
  <si>
    <t xml:space="preserve">Puntos para los diagramas (no modificar)</t>
  </si>
  <si>
    <t xml:space="preserve">Tramo</t>
  </si>
  <si>
    <t xml:space="preserve">s – s1</t>
  </si>
  <si>
    <t xml:space="preserve">1→2</t>
  </si>
  <si>
    <t xml:space="preserve">2→3</t>
  </si>
  <si>
    <t xml:space="preserve">3→4</t>
  </si>
  <si>
    <t xml:space="preserve">4→1</t>
  </si>
  <si>
    <t xml:space="preserve">Ciclo Diesel ideal de aire estándar</t>
  </si>
  <si>
    <t xml:space="preserve">Unidad 2 · 2.5. Procesos: 1→2 compresión isentrópica · 2→3 aporte de calor a P = cte · 3→4 expansión isentrópica · 4→1 rechazo de calor a v = cte</t>
  </si>
  <si>
    <t xml:space="preserve">Loja ≈ 79 kPa</t>
  </si>
  <si>
    <t xml:space="preserve">Diésel: 15 a 24</t>
  </si>
  <si>
    <t xml:space="preserve">Relación de corte rc = v3/v2</t>
  </si>
  <si>
    <t xml:space="preserve">Duración de la inyección</t>
  </si>
  <si>
    <t xml:space="preserve">Calor específico cp</t>
  </si>
  <si>
    <t xml:space="preserve">η = 1 – (rc^k – 1)/(k·(rc – 1)·r^(k–1))</t>
  </si>
  <si>
    <t xml:space="preserve">Rendimiento Otto con la misma r</t>
  </si>
  <si>
    <t xml:space="preserve">Presión máxima P2 = P3</t>
  </si>
  <si>
    <t xml:space="preserve">A igual relación de compresión el Otto es más eficiente; el Diesel lo supera porque trabaja con r mucho mayores.</t>
  </si>
  <si>
    <t xml:space="preserve">Rendimiento teórico frente a la relación de compresión</t>
  </si>
  <si>
    <t xml:space="preserve">Unidad 2 · 2.4.2 y 2.6.3. η_Otto = 1 – 1/r^(k–1) · η_Diesel = 1 – (rc^k – 1)/(k·(rc – 1)·r^(k–1))</t>
  </si>
  <si>
    <t xml:space="preserve">Relación de corte rc (curva 1)</t>
  </si>
  <si>
    <t xml:space="preserve">Relación de corte rc (curva 2)</t>
  </si>
  <si>
    <t xml:space="preserve">r</t>
  </si>
  <si>
    <t xml:space="preserve">η Otto</t>
  </si>
  <si>
    <t xml:space="preserve">η Diesel rc1</t>
  </si>
  <si>
    <t xml:space="preserve">η Diesel rc2</t>
  </si>
  <si>
    <t xml:space="preserve">Zona habitual: gasolina r = 8–12; diésel r = 15–22.</t>
  </si>
  <si>
    <t xml:space="preserve">Geometría y parámetros del motor</t>
  </si>
  <si>
    <t xml:space="preserve">Unidad 4 · 4.1 y 4.2. Notación de la guía: D, L, N, Vu, Vt, Vcc, Rc; junta: Vj, Rcj</t>
  </si>
  <si>
    <t xml:space="preserve">Diámetro (alesaje) D</t>
  </si>
  <si>
    <t xml:space="preserve">mm</t>
  </si>
  <si>
    <t xml:space="preserve">Ej.: Nissan, hoja «Parámetros de motores»</t>
  </si>
  <si>
    <t xml:space="preserve">Carrera L</t>
  </si>
  <si>
    <t xml:space="preserve">Número de cilindros N</t>
  </si>
  <si>
    <t xml:space="preserve">Relación de compresión del fabricante Rc</t>
  </si>
  <si>
    <t xml:space="preserve">Espesor de la junta de culata e</t>
  </si>
  <si>
    <t xml:space="preserve">Relación de compresión deseada (aplanado)</t>
  </si>
  <si>
    <t xml:space="preserve">Régimen n</t>
  </si>
  <si>
    <t xml:space="preserve">rpm</t>
  </si>
  <si>
    <t xml:space="preserve">Superficie del pistón Sp = πD²/4</t>
  </si>
  <si>
    <t xml:space="preserve">cm²</t>
  </si>
  <si>
    <t xml:space="preserve">Cilindrada unitaria Vu = Sp·L</t>
  </si>
  <si>
    <t xml:space="preserve">cm³</t>
  </si>
  <si>
    <t xml:space="preserve">Cilindrada total Vt = Vu·N</t>
  </si>
  <si>
    <t xml:space="preserve">Volumen de la cámara Vcc = Vu/(Rc – 1)</t>
  </si>
  <si>
    <t xml:space="preserve">Volumen de la junta Vj = Sp·e</t>
  </si>
  <si>
    <t xml:space="preserve">Rc con junta Rcj = (Vu+Vcc+Vj)/(Vcc+Vj)</t>
  </si>
  <si>
    <t xml:space="preserve">Relación carrera–diámetro L/D</t>
  </si>
  <si>
    <t xml:space="preserve">Tipo de motor</t>
  </si>
  <si>
    <t xml:space="preserve">Rebaje de culata X = L/(Rc–1) – L/(Rc,n–1)</t>
  </si>
  <si>
    <t xml:space="preserve">Velocidad media del pistón vm = L·n/30</t>
  </si>
  <si>
    <t xml:space="preserve">m/s</t>
  </si>
  <si>
    <t xml:space="preserve">Comprobación: con los datos de ejemplo Vu = 448,9 cm³, Vt = 1 795,5 cm³, Vcc = 50,44 cm³, Vj = 8,31 cm³ y Rcj = 8,64.</t>
  </si>
  <si>
    <t xml:space="preserve">Efecto del espesor de la junta en la relación de compresión</t>
  </si>
  <si>
    <t xml:space="preserve">Espesor e (mm)</t>
  </si>
  <si>
    <t xml:space="preserve">Vj (cm³)</t>
  </si>
  <si>
    <t xml:space="preserve">Rcj</t>
  </si>
  <si>
    <t xml:space="preserve">Volumen del cilindro según la posición del pistón (enlaza con Biela_manivela)</t>
  </si>
  <si>
    <t xml:space="preserve">V(θ) = Vcc + Sp·x(θ); el diagrama de la hoja Biela_manivela usa estos datos.</t>
  </si>
  <si>
    <t xml:space="preserve">Curvas características del motor</t>
  </si>
  <si>
    <t xml:space="preserve">Unidad 4 · 4.3. Introduzca el par medido en el banco; P = M·n/9 550; PME = 4π·M/Vt (4T); ge = consumo horario / P</t>
  </si>
  <si>
    <t xml:space="preserve">Cilindrada total Vt</t>
  </si>
  <si>
    <t xml:space="preserve">L</t>
  </si>
  <si>
    <t xml:space="preserve">Poder calorífico del combustible</t>
  </si>
  <si>
    <t xml:space="preserve">MJ/kg</t>
  </si>
  <si>
    <t xml:space="preserve">Gasolina ≈ 44; diésel ≈ 42,5</t>
  </si>
  <si>
    <t xml:space="preserve">n (rpm)</t>
  </si>
  <si>
    <t xml:space="preserve">Par M (N·m)</t>
  </si>
  <si>
    <t xml:space="preserve">Consumo (kg/h)</t>
  </si>
  <si>
    <t xml:space="preserve">Potencia P (kW)</t>
  </si>
  <si>
    <t xml:space="preserve">Potencia (CV)</t>
  </si>
  <si>
    <t xml:space="preserve">PME (bar)</t>
  </si>
  <si>
    <t xml:space="preserve">ge (g/kWh)</t>
  </si>
  <si>
    <t xml:space="preserve">η efectivo</t>
  </si>
  <si>
    <t xml:space="preserve">Datos de par: ejemplo de clase (motor de gasolina 1,6 L). Consumo horario: valores ilustrativos para practicar; sustitúyalos por los medidos en el banco.</t>
  </si>
  <si>
    <t xml:space="preserve">Puntos característicos y elasticidad</t>
  </si>
  <si>
    <t xml:space="preserve">Par máximo Mmáx</t>
  </si>
  <si>
    <t xml:space="preserve">N·m</t>
  </si>
  <si>
    <t xml:space="preserve">Régimen de par máximo nM</t>
  </si>
  <si>
    <t xml:space="preserve">Potencia máxima Pmáx</t>
  </si>
  <si>
    <t xml:space="preserve">kW</t>
  </si>
  <si>
    <t xml:space="preserve">Régimen de potencia máxima nP</t>
  </si>
  <si>
    <t xml:space="preserve">Par a potencia máxima MP</t>
  </si>
  <si>
    <t xml:space="preserve">Elasticidad de par Ep = Mmáx/MP</t>
  </si>
  <si>
    <t xml:space="preserve">Elasticidad de régimen En = nP/nM</t>
  </si>
  <si>
    <t xml:space="preserve">Elasticidad total E = Ep·En</t>
  </si>
  <si>
    <t xml:space="preserve">Consumo específico mínimo</t>
  </si>
  <si>
    <t xml:space="preserve">g/kWh</t>
  </si>
  <si>
    <t xml:space="preserve">Cinemática del mecanismo biela–manivela</t>
  </si>
  <si>
    <t xml:space="preserve">Unidad 4 · 4.4. x = r[(1 – cos θ) + (1/λ)(1 – √(1 – λ² sin²θ))]; v ≈ rω(sin θ + λ/2·sin 2θ); a ≈ rω²(cos θ + λ cos 2θ)</t>
  </si>
  <si>
    <t xml:space="preserve">Longitud de la biela l</t>
  </si>
  <si>
    <t xml:space="preserve">Entre centros</t>
  </si>
  <si>
    <t xml:space="preserve">Radio de la manivela r = L/2</t>
  </si>
  <si>
    <t xml:space="preserve">Relación λ = r/l</t>
  </si>
  <si>
    <t xml:space="preserve">Velocidad angular ω</t>
  </si>
  <si>
    <t xml:space="preserve">rad/s</t>
  </si>
  <si>
    <t xml:space="preserve">Velocidad media del pistón vm</t>
  </si>
  <si>
    <t xml:space="preserve">Velocidad máxima del pistón</t>
  </si>
  <si>
    <t xml:space="preserve">Posición a 90° (más de L/2 por la oblicuidad)</t>
  </si>
  <si>
    <t xml:space="preserve">θ (°)</t>
  </si>
  <si>
    <t xml:space="preserve">θ (rad)</t>
  </si>
  <si>
    <t xml:space="preserve">x (mm)</t>
  </si>
  <si>
    <t xml:space="preserve">v (m/s)</t>
  </si>
  <si>
    <t xml:space="preserve">a (m/s²)</t>
  </si>
  <si>
    <t xml:space="preserve">x armónico (mm)</t>
  </si>
  <si>
    <t xml:space="preserve">V cilindro (cm³)</t>
  </si>
  <si>
    <t xml:space="preserve">La columna V cilindro usa Sp y Vcc de la hoja Geometria (cámbielos allí).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</si>
</sst>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0.0000"/>
    <numFmt numFmtId="167" formatCode="0.0%"/>
    <numFmt numFmtId="168" formatCode="0"/>
    <numFmt numFmtId="169" formatCode="0%"/>
    <numFmt numFmtId="170" formatCode="0.00"/>
    <numFmt numFmtId="171" formatCode="0.000"/>
    <numFmt numFmtId="172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5233F"/>
      <name val="Arial"/>
      <family val="0"/>
      <charset val="1"/>
    </font>
    <font>
      <i val="true"/>
      <sz val="9"/>
      <color rgb="FF5B677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E7C7B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5233F"/>
        <bgColor rgb="FF003366"/>
      </patternFill>
    </fill>
    <fill>
      <patternFill patternType="solid">
        <fgColor rgb="FFFFF2CC"/>
        <bgColor rgb="FFFDE4DC"/>
      </patternFill>
    </fill>
    <fill>
      <patternFill patternType="solid">
        <fgColor rgb="FFFDE4D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B8C2CC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4DC"/>
      <rgbColor rgb="FF3366FF"/>
      <rgbColor rgb="FF33CCCC"/>
      <rgbColor rgb="FF99CC00"/>
      <rgbColor rgb="FFFFCC00"/>
      <rgbColor rgb="FFFF9900"/>
      <rgbColor rgb="FFE4572E"/>
      <rgbColor rgb="FF5B67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523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P–v del ciclo Otto ideal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"Ciclo Otto"</c:f>
              <c:strCache>
                <c:ptCount val="1"/>
                <c:pt idx="0">
                  <c:v>Ciclo Otto</c:v>
                </c:pt>
              </c:strCache>
            </c:strRef>
          </c:tx>
          <c:spPr>
            <a:solidFill>
              <a:srgbClr val="e4572e"/>
            </a:solidFill>
            <a:ln w="28080">
              <a:solidFill>
                <a:srgbClr val="e457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Ciclo_Otto!$B$32:$B$115</c:f>
              <c:numCache>
                <c:formatCode>0.0000</c:formatCode>
                <c:ptCount val="84"/>
                <c:pt idx="0">
                  <c:v>0.8323</c:v>
                </c:pt>
                <c:pt idx="1">
                  <c:v>0.808024583333333</c:v>
                </c:pt>
                <c:pt idx="2">
                  <c:v>0.783749166666667</c:v>
                </c:pt>
                <c:pt idx="3">
                  <c:v>0.75947375</c:v>
                </c:pt>
                <c:pt idx="4">
                  <c:v>0.735198333333333</c:v>
                </c:pt>
                <c:pt idx="5">
                  <c:v>0.710922916666667</c:v>
                </c:pt>
                <c:pt idx="6">
                  <c:v>0.6866475</c:v>
                </c:pt>
                <c:pt idx="7">
                  <c:v>0.662372083333333</c:v>
                </c:pt>
                <c:pt idx="8">
                  <c:v>0.638096666666667</c:v>
                </c:pt>
                <c:pt idx="9">
                  <c:v>0.61382125</c:v>
                </c:pt>
                <c:pt idx="10">
                  <c:v>0.589545833333333</c:v>
                </c:pt>
                <c:pt idx="11">
                  <c:v>0.565270416666667</c:v>
                </c:pt>
                <c:pt idx="12">
                  <c:v>0.540995</c:v>
                </c:pt>
                <c:pt idx="13">
                  <c:v>0.516719583333333</c:v>
                </c:pt>
                <c:pt idx="14">
                  <c:v>0.492444166666667</c:v>
                </c:pt>
                <c:pt idx="15">
                  <c:v>0.46816875</c:v>
                </c:pt>
                <c:pt idx="16">
                  <c:v>0.443893333333333</c:v>
                </c:pt>
                <c:pt idx="17">
                  <c:v>0.419617916666667</c:v>
                </c:pt>
                <c:pt idx="18">
                  <c:v>0.3953425</c:v>
                </c:pt>
                <c:pt idx="19">
                  <c:v>0.371067083333333</c:v>
                </c:pt>
                <c:pt idx="20">
                  <c:v>0.346791666666667</c:v>
                </c:pt>
                <c:pt idx="21">
                  <c:v>0.32251625</c:v>
                </c:pt>
                <c:pt idx="22">
                  <c:v>0.298240833333333</c:v>
                </c:pt>
                <c:pt idx="23">
                  <c:v>0.273965416666667</c:v>
                </c:pt>
                <c:pt idx="24">
                  <c:v>0.24969</c:v>
                </c:pt>
                <c:pt idx="25">
                  <c:v>0.225414583333333</c:v>
                </c:pt>
                <c:pt idx="26">
                  <c:v>0.201139166666667</c:v>
                </c:pt>
                <c:pt idx="27">
                  <c:v>0.17686375</c:v>
                </c:pt>
                <c:pt idx="28">
                  <c:v>0.152588333333333</c:v>
                </c:pt>
                <c:pt idx="29">
                  <c:v>0.128312916666667</c:v>
                </c:pt>
                <c:pt idx="30">
                  <c:v>0.1040375</c:v>
                </c:pt>
                <c:pt idx="31">
                  <c:v>0.1040375</c:v>
                </c:pt>
                <c:pt idx="32">
                  <c:v>0.1040375</c:v>
                </c:pt>
                <c:pt idx="33">
                  <c:v>0.1040375</c:v>
                </c:pt>
                <c:pt idx="34">
                  <c:v>0.1040375</c:v>
                </c:pt>
                <c:pt idx="35">
                  <c:v>0.1040375</c:v>
                </c:pt>
                <c:pt idx="36">
                  <c:v>0.1040375</c:v>
                </c:pt>
                <c:pt idx="37">
                  <c:v>0.1040375</c:v>
                </c:pt>
                <c:pt idx="38">
                  <c:v>0.1040375</c:v>
                </c:pt>
                <c:pt idx="39">
                  <c:v>0.1040375</c:v>
                </c:pt>
                <c:pt idx="40">
                  <c:v>0.1040375</c:v>
                </c:pt>
                <c:pt idx="41">
                  <c:v>0.1040375</c:v>
                </c:pt>
                <c:pt idx="42">
                  <c:v>0.1040375</c:v>
                </c:pt>
                <c:pt idx="43">
                  <c:v>0.128312916666667</c:v>
                </c:pt>
                <c:pt idx="44">
                  <c:v>0.152588333333333</c:v>
                </c:pt>
                <c:pt idx="45">
                  <c:v>0.17686375</c:v>
                </c:pt>
                <c:pt idx="46">
                  <c:v>0.201139166666667</c:v>
                </c:pt>
                <c:pt idx="47">
                  <c:v>0.225414583333333</c:v>
                </c:pt>
                <c:pt idx="48">
                  <c:v>0.24969</c:v>
                </c:pt>
                <c:pt idx="49">
                  <c:v>0.273965416666667</c:v>
                </c:pt>
                <c:pt idx="50">
                  <c:v>0.298240833333333</c:v>
                </c:pt>
                <c:pt idx="51">
                  <c:v>0.32251625</c:v>
                </c:pt>
                <c:pt idx="52">
                  <c:v>0.346791666666667</c:v>
                </c:pt>
                <c:pt idx="53">
                  <c:v>0.371067083333333</c:v>
                </c:pt>
                <c:pt idx="54">
                  <c:v>0.3953425</c:v>
                </c:pt>
                <c:pt idx="55">
                  <c:v>0.419617916666667</c:v>
                </c:pt>
                <c:pt idx="56">
                  <c:v>0.443893333333333</c:v>
                </c:pt>
                <c:pt idx="57">
                  <c:v>0.46816875</c:v>
                </c:pt>
                <c:pt idx="58">
                  <c:v>0.492444166666667</c:v>
                </c:pt>
                <c:pt idx="59">
                  <c:v>0.516719583333333</c:v>
                </c:pt>
                <c:pt idx="60">
                  <c:v>0.540995</c:v>
                </c:pt>
                <c:pt idx="61">
                  <c:v>0.565270416666667</c:v>
                </c:pt>
                <c:pt idx="62">
                  <c:v>0.589545833333333</c:v>
                </c:pt>
                <c:pt idx="63">
                  <c:v>0.61382125</c:v>
                </c:pt>
                <c:pt idx="64">
                  <c:v>0.638096666666667</c:v>
                </c:pt>
                <c:pt idx="65">
                  <c:v>0.662372083333333</c:v>
                </c:pt>
                <c:pt idx="66">
                  <c:v>0.6866475</c:v>
                </c:pt>
                <c:pt idx="67">
                  <c:v>0.710922916666667</c:v>
                </c:pt>
                <c:pt idx="68">
                  <c:v>0.735198333333333</c:v>
                </c:pt>
                <c:pt idx="69">
                  <c:v>0.75947375</c:v>
                </c:pt>
                <c:pt idx="70">
                  <c:v>0.783749166666667</c:v>
                </c:pt>
                <c:pt idx="71">
                  <c:v>0.808024583333333</c:v>
                </c:pt>
                <c:pt idx="72">
                  <c:v>0.8323</c:v>
                </c:pt>
                <c:pt idx="73">
                  <c:v>0.8323</c:v>
                </c:pt>
                <c:pt idx="74">
                  <c:v>0.8323</c:v>
                </c:pt>
                <c:pt idx="75">
                  <c:v>0.8323</c:v>
                </c:pt>
                <c:pt idx="76">
                  <c:v>0.8323</c:v>
                </c:pt>
                <c:pt idx="77">
                  <c:v>0.8323</c:v>
                </c:pt>
                <c:pt idx="78">
                  <c:v>0.8323</c:v>
                </c:pt>
                <c:pt idx="79">
                  <c:v>0.8323</c:v>
                </c:pt>
                <c:pt idx="80">
                  <c:v>0.8323</c:v>
                </c:pt>
                <c:pt idx="81">
                  <c:v>0.8323</c:v>
                </c:pt>
                <c:pt idx="82">
                  <c:v>0.8323</c:v>
                </c:pt>
                <c:pt idx="83">
                  <c:v>0.8323</c:v>
                </c:pt>
              </c:numCache>
            </c:numRef>
          </c:xVal>
          <c:yVal>
            <c:numRef>
              <c:f>Ciclo_Otto!$C$32:$C$115</c:f>
              <c:numCache>
                <c:formatCode>0.0</c:formatCode>
                <c:ptCount val="84"/>
                <c:pt idx="0">
                  <c:v>100</c:v>
                </c:pt>
                <c:pt idx="1">
                  <c:v>104.231130685217</c:v>
                </c:pt>
                <c:pt idx="2">
                  <c:v>108.778714847044</c:v>
                </c:pt>
                <c:pt idx="3">
                  <c:v>113.677359600643</c:v>
                </c:pt>
                <c:pt idx="4">
                  <c:v>118.966732371744</c:v>
                </c:pt>
                <c:pt idx="5">
                  <c:v>124.692500167374</c:v>
                </c:pt>
                <c:pt idx="6">
                  <c:v>130.907482821596</c:v>
                </c:pt>
                <c:pt idx="7">
                  <c:v>137.673078655946</c:v>
                </c:pt>
                <c:pt idx="8">
                  <c:v>145.061039805271</c:v>
                </c:pt>
                <c:pt idx="9">
                  <c:v>153.155700316114</c:v>
                </c:pt>
                <c:pt idx="10">
                  <c:v>162.056796067214</c:v>
                </c:pt>
                <c:pt idx="11">
                  <c:v>171.883066131178</c:v>
                </c:pt>
                <c:pt idx="12">
                  <c:v>182.776897276152</c:v>
                </c:pt>
                <c:pt idx="13">
                  <c:v>194.910377498679</c:v>
                </c:pt>
                <c:pt idx="14">
                  <c:v>208.493277398315</c:v>
                </c:pt>
                <c:pt idx="15">
                  <c:v>223.783706381014</c:v>
                </c:pt>
                <c:pt idx="16">
                  <c:v>241.102537347893</c:v>
                </c:pt>
                <c:pt idx="17">
                  <c:v>260.853230741956</c:v>
                </c:pt>
                <c:pt idx="18">
                  <c:v>283.549539644061</c:v>
                </c:pt>
                <c:pt idx="19">
                  <c:v>309.854957953263</c:v>
                </c:pt>
                <c:pt idx="20">
                  <c:v>340.640073966027</c:v>
                </c:pt>
                <c:pt idx="21">
                  <c:v>377.067941824627</c:v>
                </c:pt>
                <c:pt idx="22">
                  <c:v>420.724600443056</c:v>
                </c:pt>
                <c:pt idx="23">
                  <c:v>473.824824685107</c:v>
                </c:pt>
                <c:pt idx="24">
                  <c:v>539.548194255782</c:v>
                </c:pt>
                <c:pt idx="25">
                  <c:v>622.611358074292</c:v>
                </c:pt>
                <c:pt idx="26">
                  <c:v>730.292007111677</c:v>
                </c:pt>
                <c:pt idx="27">
                  <c:v>874.374516849431</c:v>
                </c:pt>
                <c:pt idx="28">
                  <c:v>1075.13250258136</c:v>
                </c:pt>
                <c:pt idx="29">
                  <c:v>1370.29263878573</c:v>
                </c:pt>
                <c:pt idx="30">
                  <c:v>1837.91736799526</c:v>
                </c:pt>
                <c:pt idx="31">
                  <c:v>1837.91736799526</c:v>
                </c:pt>
                <c:pt idx="32">
                  <c:v>2145.28457575628</c:v>
                </c:pt>
                <c:pt idx="33">
                  <c:v>2452.6517835173</c:v>
                </c:pt>
                <c:pt idx="34">
                  <c:v>2760.01899127832</c:v>
                </c:pt>
                <c:pt idx="35">
                  <c:v>3067.38619903934</c:v>
                </c:pt>
                <c:pt idx="36">
                  <c:v>3374.75340680037</c:v>
                </c:pt>
                <c:pt idx="37">
                  <c:v>3682.12061456139</c:v>
                </c:pt>
                <c:pt idx="38">
                  <c:v>3989.48782232241</c:v>
                </c:pt>
                <c:pt idx="39">
                  <c:v>4296.85503008343</c:v>
                </c:pt>
                <c:pt idx="40">
                  <c:v>4604.22223784445</c:v>
                </c:pt>
                <c:pt idx="41">
                  <c:v>4911.58944560548</c:v>
                </c:pt>
                <c:pt idx="42">
                  <c:v>4911.58944560548</c:v>
                </c:pt>
                <c:pt idx="43">
                  <c:v>3661.92462144915</c:v>
                </c:pt>
                <c:pt idx="44">
                  <c:v>2873.1484582824</c:v>
                </c:pt>
                <c:pt idx="45">
                  <c:v>2336.64947252141</c:v>
                </c:pt>
                <c:pt idx="46">
                  <c:v>1951.60814996391</c:v>
                </c:pt>
                <c:pt idx="47">
                  <c:v>1663.84595318742</c:v>
                </c:pt>
                <c:pt idx="48">
                  <c:v>1441.87070781793</c:v>
                </c:pt>
                <c:pt idx="49">
                  <c:v>1266.23375376648</c:v>
                </c:pt>
                <c:pt idx="50">
                  <c:v>1124.33047482254</c:v>
                </c:pt>
                <c:pt idx="51">
                  <c:v>1007.66386758841</c:v>
                </c:pt>
                <c:pt idx="52">
                  <c:v>910.315241139896</c:v>
                </c:pt>
                <c:pt idx="53">
                  <c:v>828.046117661861</c:v>
                </c:pt>
                <c:pt idx="54">
                  <c:v>757.748389820785</c:v>
                </c:pt>
                <c:pt idx="55">
                  <c:v>697.095526313992</c:v>
                </c:pt>
                <c:pt idx="56">
                  <c:v>644.314428041068</c:v>
                </c:pt>
                <c:pt idx="57">
                  <c:v>598.032158300111</c:v>
                </c:pt>
                <c:pt idx="58">
                  <c:v>557.170522778312</c:v>
                </c:pt>
                <c:pt idx="59">
                  <c:v>520.872031371958</c:v>
                </c:pt>
                <c:pt idx="60">
                  <c:v>488.446921061134</c:v>
                </c:pt>
                <c:pt idx="61">
                  <c:v>459.334607849673</c:v>
                </c:pt>
                <c:pt idx="62">
                  <c:v>433.075209480486</c:v>
                </c:pt>
                <c:pt idx="63">
                  <c:v>409.288216274629</c:v>
                </c:pt>
                <c:pt idx="64">
                  <c:v>387.65631387078</c:v>
                </c:pt>
                <c:pt idx="65">
                  <c:v>367.912971412925</c:v>
                </c:pt>
                <c:pt idx="66">
                  <c:v>349.832817390837</c:v>
                </c:pt>
                <c:pt idx="67">
                  <c:v>333.224103777996</c:v>
                </c:pt>
                <c:pt idx="68">
                  <c:v>317.922751735341</c:v>
                </c:pt>
                <c:pt idx="69">
                  <c:v>303.78760728935</c:v>
                </c:pt>
                <c:pt idx="70">
                  <c:v>290.69663144434</c:v>
                </c:pt>
                <c:pt idx="71">
                  <c:v>278.543818286806</c:v>
                </c:pt>
                <c:pt idx="72">
                  <c:v>267.236684909447</c:v>
                </c:pt>
                <c:pt idx="73">
                  <c:v>267.236684909447</c:v>
                </c:pt>
                <c:pt idx="74">
                  <c:v>250.513016418502</c:v>
                </c:pt>
                <c:pt idx="75">
                  <c:v>233.789347927557</c:v>
                </c:pt>
                <c:pt idx="76">
                  <c:v>217.065679436613</c:v>
                </c:pt>
                <c:pt idx="77">
                  <c:v>200.342010945668</c:v>
                </c:pt>
                <c:pt idx="78">
                  <c:v>183.618342454723</c:v>
                </c:pt>
                <c:pt idx="79">
                  <c:v>166.894673963779</c:v>
                </c:pt>
                <c:pt idx="80">
                  <c:v>150.171005472834</c:v>
                </c:pt>
                <c:pt idx="81">
                  <c:v>133.447336981889</c:v>
                </c:pt>
                <c:pt idx="82">
                  <c:v>116.723668490945</c:v>
                </c:pt>
                <c:pt idx="83">
                  <c:v>100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"Estado 1"</c:f>
              <c:strCache>
                <c:ptCount val="1"/>
                <c:pt idx="0">
                  <c:v>Estado 1</c:v>
                </c:pt>
              </c:strCache>
            </c:strRef>
          </c:tx>
          <c:spPr>
            <a:solidFill>
              <a:srgbClr val="15233f"/>
            </a:solidFill>
            <a:ln w="0">
              <a:solidFill>
                <a:srgbClr val="15233f"/>
              </a:solidFill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Ciclo_Otto!$C$15</c:f>
              <c:numCache>
                <c:formatCode>0.0000</c:formatCode>
                <c:ptCount val="1"/>
                <c:pt idx="0">
                  <c:v>0.8323</c:v>
                </c:pt>
              </c:numCache>
            </c:numRef>
          </c:xVal>
          <c:yVal>
            <c:numRef>
              <c:f>Ciclo_Otto!$B$15</c:f>
              <c:numCache>
                <c:formatCode>0.0</c:formatCode>
                <c:ptCount val="1"/>
                <c:pt idx="0">
                  <c:v>100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"Estado 2"</c:f>
              <c:strCache>
                <c:ptCount val="1"/>
                <c:pt idx="0">
                  <c:v>Estado 2</c:v>
                </c:pt>
              </c:strCache>
            </c:strRef>
          </c:tx>
          <c:spPr>
            <a:solidFill>
              <a:srgbClr val="15233f"/>
            </a:solidFill>
            <a:ln w="0">
              <a:solidFill>
                <a:srgbClr val="15233f"/>
              </a:solidFill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Ciclo_Otto!$C$16</c:f>
              <c:numCache>
                <c:formatCode>0.0000</c:formatCode>
                <c:ptCount val="1"/>
                <c:pt idx="0">
                  <c:v>0.1040375</c:v>
                </c:pt>
              </c:numCache>
            </c:numRef>
          </c:xVal>
          <c:yVal>
            <c:numRef>
              <c:f>Ciclo_Otto!$B$16</c:f>
              <c:numCache>
                <c:formatCode>0.0</c:formatCode>
                <c:ptCount val="1"/>
                <c:pt idx="0">
                  <c:v>1837.91736799526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"Estado 3"</c:f>
              <c:strCache>
                <c:ptCount val="1"/>
                <c:pt idx="0">
                  <c:v>Estado 3</c:v>
                </c:pt>
              </c:strCache>
            </c:strRef>
          </c:tx>
          <c:spPr>
            <a:solidFill>
              <a:srgbClr val="15233f"/>
            </a:solidFill>
            <a:ln w="0">
              <a:solidFill>
                <a:srgbClr val="15233f"/>
              </a:solidFill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Ciclo_Otto!$C$17</c:f>
              <c:numCache>
                <c:formatCode>0.0000</c:formatCode>
                <c:ptCount val="1"/>
                <c:pt idx="0">
                  <c:v>0.1040375</c:v>
                </c:pt>
              </c:numCache>
            </c:numRef>
          </c:xVal>
          <c:yVal>
            <c:numRef>
              <c:f>Ciclo_Otto!$B$17</c:f>
              <c:numCache>
                <c:formatCode>0.0</c:formatCode>
                <c:ptCount val="1"/>
                <c:pt idx="0">
                  <c:v>4911.58944560548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"Estado 4"</c:f>
              <c:strCache>
                <c:ptCount val="1"/>
                <c:pt idx="0">
                  <c:v>Estado 4</c:v>
                </c:pt>
              </c:strCache>
            </c:strRef>
          </c:tx>
          <c:spPr>
            <a:solidFill>
              <a:srgbClr val="15233f"/>
            </a:solidFill>
            <a:ln w="0">
              <a:solidFill>
                <a:srgbClr val="15233f"/>
              </a:solidFill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Ciclo_Otto!$C$18</c:f>
              <c:numCache>
                <c:formatCode>0.0000</c:formatCode>
                <c:ptCount val="1"/>
                <c:pt idx="0">
                  <c:v>0.8323</c:v>
                </c:pt>
              </c:numCache>
            </c:numRef>
          </c:xVal>
          <c:yVal>
            <c:numRef>
              <c:f>Ciclo_Otto!$B$18</c:f>
              <c:numCache>
                <c:formatCode>0.0</c:formatCode>
                <c:ptCount val="1"/>
                <c:pt idx="0">
                  <c:v>267.236684909447</c:v>
                </c:pt>
              </c:numCache>
            </c:numRef>
          </c:yVal>
          <c:smooth val="0"/>
        </c:ser>
        <c:axId val="22100447"/>
        <c:axId val="37400700"/>
      </c:scatterChart>
      <c:valAx>
        <c:axId val="221004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Volumen específico v (m³/kg)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00700"/>
        <c:crosses val="autoZero"/>
        <c:crossBetween val="midCat"/>
      </c:valAx>
      <c:valAx>
        <c:axId val="374007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Presión 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0044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T–s del ciclo Otto ideal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"Ciclo Otto"</c:f>
              <c:strCache>
                <c:ptCount val="1"/>
                <c:pt idx="0">
                  <c:v>Ciclo Otto</c:v>
                </c:pt>
              </c:strCache>
            </c:strRef>
          </c:tx>
          <c:spPr>
            <a:solidFill>
              <a:srgbClr val="0e7c7b"/>
            </a:solidFill>
            <a:ln w="28080">
              <a:solidFill>
                <a:srgbClr val="0e7c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Ciclo_Otto!$E$32:$E$115</c:f>
              <c:numCache>
                <c:formatCode>0.0000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0.1110309079572</c:v>
                </c:pt>
                <c:pt idx="33">
                  <c:v>0.207169375362587</c:v>
                </c:pt>
                <c:pt idx="34">
                  <c:v>0.291942027586343</c:v>
                </c:pt>
                <c:pt idx="35">
                  <c:v>0.367754382027869</c:v>
                </c:pt>
                <c:pt idx="36">
                  <c:v>0.436320839601594</c:v>
                </c:pt>
                <c:pt idx="37">
                  <c:v>0.498906446313192</c:v>
                </c:pt>
                <c:pt idx="38">
                  <c:v>0.556471390635741</c:v>
                </c:pt>
                <c:pt idx="39">
                  <c:v>0.609761716401004</c:v>
                </c:pt>
                <c:pt idx="40">
                  <c:v>0.659368618965032</c:v>
                </c:pt>
                <c:pt idx="41">
                  <c:v>0.705768539772589</c:v>
                </c:pt>
                <c:pt idx="42">
                  <c:v>0.705768539772589</c:v>
                </c:pt>
                <c:pt idx="43">
                  <c:v>0.705768539772589</c:v>
                </c:pt>
                <c:pt idx="44">
                  <c:v>0.705768539772589</c:v>
                </c:pt>
                <c:pt idx="45">
                  <c:v>0.705768539772589</c:v>
                </c:pt>
                <c:pt idx="46">
                  <c:v>0.705768539772589</c:v>
                </c:pt>
                <c:pt idx="47">
                  <c:v>0.705768539772589</c:v>
                </c:pt>
                <c:pt idx="48">
                  <c:v>0.705768539772589</c:v>
                </c:pt>
                <c:pt idx="49">
                  <c:v>0.705768539772589</c:v>
                </c:pt>
                <c:pt idx="50">
                  <c:v>0.705768539772589</c:v>
                </c:pt>
                <c:pt idx="51">
                  <c:v>0.705768539772589</c:v>
                </c:pt>
                <c:pt idx="52">
                  <c:v>0.705768539772589</c:v>
                </c:pt>
                <c:pt idx="53">
                  <c:v>0.705768539772589</c:v>
                </c:pt>
                <c:pt idx="54">
                  <c:v>0.705768539772589</c:v>
                </c:pt>
                <c:pt idx="55">
                  <c:v>0.705768539772589</c:v>
                </c:pt>
                <c:pt idx="56">
                  <c:v>0.705768539772589</c:v>
                </c:pt>
                <c:pt idx="57">
                  <c:v>0.705768539772589</c:v>
                </c:pt>
                <c:pt idx="58">
                  <c:v>0.705768539772589</c:v>
                </c:pt>
                <c:pt idx="59">
                  <c:v>0.705768539772589</c:v>
                </c:pt>
                <c:pt idx="60">
                  <c:v>0.705768539772589</c:v>
                </c:pt>
                <c:pt idx="61">
                  <c:v>0.705768539772589</c:v>
                </c:pt>
                <c:pt idx="62">
                  <c:v>0.705768539772589</c:v>
                </c:pt>
                <c:pt idx="63">
                  <c:v>0.705768539772589</c:v>
                </c:pt>
                <c:pt idx="64">
                  <c:v>0.705768539772589</c:v>
                </c:pt>
                <c:pt idx="65">
                  <c:v>0.705768539772589</c:v>
                </c:pt>
                <c:pt idx="66">
                  <c:v>0.705768539772589</c:v>
                </c:pt>
                <c:pt idx="67">
                  <c:v>0.705768539772589</c:v>
                </c:pt>
                <c:pt idx="68">
                  <c:v>0.705768539772589</c:v>
                </c:pt>
                <c:pt idx="69">
                  <c:v>0.705768539772589</c:v>
                </c:pt>
                <c:pt idx="70">
                  <c:v>0.705768539772589</c:v>
                </c:pt>
                <c:pt idx="71">
                  <c:v>0.705768539772589</c:v>
                </c:pt>
                <c:pt idx="72">
                  <c:v>0.705768539772589</c:v>
                </c:pt>
                <c:pt idx="73">
                  <c:v>0.705768539772589</c:v>
                </c:pt>
                <c:pt idx="74">
                  <c:v>0.659368618965032</c:v>
                </c:pt>
                <c:pt idx="75">
                  <c:v>0.609761716401004</c:v>
                </c:pt>
                <c:pt idx="76">
                  <c:v>0.556471390635741</c:v>
                </c:pt>
                <c:pt idx="77">
                  <c:v>0.498906446313192</c:v>
                </c:pt>
                <c:pt idx="78">
                  <c:v>0.436320839601593</c:v>
                </c:pt>
                <c:pt idx="79">
                  <c:v>0.367754382027869</c:v>
                </c:pt>
                <c:pt idx="80">
                  <c:v>0.291942027586343</c:v>
                </c:pt>
                <c:pt idx="81">
                  <c:v>0.207169375362587</c:v>
                </c:pt>
                <c:pt idx="82">
                  <c:v>0.1110309079572</c:v>
                </c:pt>
                <c:pt idx="83">
                  <c:v>0</c:v>
                </c:pt>
              </c:numCache>
            </c:numRef>
          </c:xVal>
          <c:yVal>
            <c:numRef>
              <c:f>Ciclo_Otto!$D$32:$D$115</c:f>
              <c:numCache>
                <c:formatCode>0.0</c:formatCode>
                <c:ptCount val="84"/>
                <c:pt idx="0">
                  <c:v>290</c:v>
                </c:pt>
                <c:pt idx="1">
                  <c:v>293.45406251667</c:v>
                </c:pt>
                <c:pt idx="2">
                  <c:v>297.056540461469</c:v>
                </c:pt>
                <c:pt idx="3">
                  <c:v>300.818712843203</c:v>
                </c:pt>
                <c:pt idx="4">
                  <c:v>304.75311275895</c:v>
                </c:pt>
                <c:pt idx="5">
                  <c:v>308.873713956265</c:v>
                </c:pt>
                <c:pt idx="6">
                  <c:v>313.196152650669</c:v>
                </c:pt>
                <c:pt idx="7">
                  <c:v>317.737992781368</c:v>
                </c:pt>
                <c:pt idx="8">
                  <c:v>322.519045167053</c:v>
                </c:pt>
                <c:pt idx="9">
                  <c:v>327.561754051088</c:v>
                </c:pt>
                <c:pt idx="10">
                  <c:v>332.89166858807</c:v>
                </c:pt>
                <c:pt idx="11">
                  <c:v>338.5380223342</c:v>
                </c:pt>
                <c:pt idx="12">
                  <c:v>344.534451365547</c:v>
                </c:pt>
                <c:pt idx="13">
                  <c:v>350.919892154914</c:v>
                </c:pt>
                <c:pt idx="14">
                  <c:v>357.739715135941</c:v>
                </c:pt>
                <c:pt idx="15">
                  <c:v>365.047171034029</c:v>
                </c:pt>
                <c:pt idx="16">
                  <c:v>372.905257764741</c:v>
                </c:pt>
                <c:pt idx="17">
                  <c:v>381.389161113968</c:v>
                </c:pt>
                <c:pt idx="18">
                  <c:v>390.589490859694</c:v>
                </c:pt>
                <c:pt idx="19">
                  <c:v>400.616639387073</c:v>
                </c:pt>
                <c:pt idx="20">
                  <c:v>411.606756042282</c:v>
                </c:pt>
                <c:pt idx="21">
                  <c:v>423.730099625424</c:v>
                </c:pt>
                <c:pt idx="22">
                  <c:v>437.202980627075</c:v>
                </c:pt>
                <c:pt idx="23">
                  <c:v>452.305280563992</c:v>
                </c:pt>
                <c:pt idx="24">
                  <c:v>469.40692900253</c:v>
                </c:pt>
                <c:pt idx="25">
                  <c:v>489.009337487517</c:v>
                </c:pt>
                <c:pt idx="26">
                  <c:v>511.812981650767</c:v>
                </c:pt>
                <c:pt idx="27">
                  <c:v>538.833296008462</c:v>
                </c:pt>
                <c:pt idx="28">
                  <c:v>571.612113872424</c:v>
                </c:pt>
                <c:pt idx="29">
                  <c:v>612.635000590451</c:v>
                </c:pt>
                <c:pt idx="30">
                  <c:v>666.24504589828</c:v>
                </c:pt>
                <c:pt idx="31">
                  <c:v>666.24504589828</c:v>
                </c:pt>
                <c:pt idx="32">
                  <c:v>777.665658711651</c:v>
                </c:pt>
                <c:pt idx="33">
                  <c:v>889.086271525021</c:v>
                </c:pt>
                <c:pt idx="34">
                  <c:v>1000.50688433839</c:v>
                </c:pt>
                <c:pt idx="35">
                  <c:v>1111.92749715176</c:v>
                </c:pt>
                <c:pt idx="36">
                  <c:v>1223.34810996513</c:v>
                </c:pt>
                <c:pt idx="37">
                  <c:v>1334.7687227785</c:v>
                </c:pt>
                <c:pt idx="38">
                  <c:v>1446.18933559187</c:v>
                </c:pt>
                <c:pt idx="39">
                  <c:v>1557.60994840524</c:v>
                </c:pt>
                <c:pt idx="40">
                  <c:v>1669.03056121861</c:v>
                </c:pt>
                <c:pt idx="41">
                  <c:v>1780.45117403199</c:v>
                </c:pt>
                <c:pt idx="42">
                  <c:v>1780.45117403199</c:v>
                </c:pt>
                <c:pt idx="43">
                  <c:v>1637.18546617289</c:v>
                </c:pt>
                <c:pt idx="44">
                  <c:v>1527.55726365348</c:v>
                </c:pt>
                <c:pt idx="45">
                  <c:v>1439.96023744132</c:v>
                </c:pt>
                <c:pt idx="46">
                  <c:v>1367.7520450997</c:v>
                </c:pt>
                <c:pt idx="47">
                  <c:v>1306.81234239929</c:v>
                </c:pt>
                <c:pt idx="48">
                  <c:v>1254.4275158016</c:v>
                </c:pt>
                <c:pt idx="49">
                  <c:v>1208.72563744958</c:v>
                </c:pt>
                <c:pt idx="50">
                  <c:v>1168.36675175309</c:v>
                </c:pt>
                <c:pt idx="51">
                  <c:v>1132.36227120248</c:v>
                </c:pt>
                <c:pt idx="52">
                  <c:v>1099.96424971071</c:v>
                </c:pt>
                <c:pt idx="53">
                  <c:v>1070.59462629365</c:v>
                </c:pt>
                <c:pt idx="54">
                  <c:v>1043.79840697813</c:v>
                </c:pt>
                <c:pt idx="55">
                  <c:v>1019.21175076492</c:v>
                </c:pt>
                <c:pt idx="56">
                  <c:v>996.539648703519</c:v>
                </c:pt>
                <c:pt idx="57">
                  <c:v>975.539958227056</c:v>
                </c:pt>
                <c:pt idx="58">
                  <c:v>956.011755333787</c:v>
                </c:pt>
                <c:pt idx="59">
                  <c:v>937.786686482596</c:v>
                </c:pt>
                <c:pt idx="60">
                  <c:v>920.722446200237</c:v>
                </c:pt>
                <c:pt idx="61">
                  <c:v>904.697788043918</c:v>
                </c:pt>
                <c:pt idx="62">
                  <c:v>889.608659474499</c:v>
                </c:pt>
                <c:pt idx="63">
                  <c:v>875.365172557363</c:v>
                </c:pt>
                <c:pt idx="64">
                  <c:v>861.889204506033</c:v>
                </c:pt>
                <c:pt idx="65">
                  <c:v>849.112478606746</c:v>
                </c:pt>
                <c:pt idx="66">
                  <c:v>836.975015607577</c:v>
                </c:pt>
                <c:pt idx="67">
                  <c:v>825.42387373341</c:v>
                </c:pt>
                <c:pt idx="68">
                  <c:v>814.412115695366</c:v>
                </c:pt>
                <c:pt idx="69">
                  <c:v>803.897955789442</c:v>
                </c:pt>
                <c:pt idx="70">
                  <c:v>793.844051035918</c:v>
                </c:pt>
                <c:pt idx="71">
                  <c:v>784.216908401645</c:v>
                </c:pt>
                <c:pt idx="72">
                  <c:v>774.986386237395</c:v>
                </c:pt>
                <c:pt idx="73">
                  <c:v>774.986386237395</c:v>
                </c:pt>
                <c:pt idx="74">
                  <c:v>726.487747613656</c:v>
                </c:pt>
                <c:pt idx="75">
                  <c:v>677.989108989916</c:v>
                </c:pt>
                <c:pt idx="76">
                  <c:v>629.490470366177</c:v>
                </c:pt>
                <c:pt idx="77">
                  <c:v>580.991831742437</c:v>
                </c:pt>
                <c:pt idx="78">
                  <c:v>532.493193118698</c:v>
                </c:pt>
                <c:pt idx="79">
                  <c:v>483.994554494958</c:v>
                </c:pt>
                <c:pt idx="80">
                  <c:v>435.495915871219</c:v>
                </c:pt>
                <c:pt idx="81">
                  <c:v>386.997277247479</c:v>
                </c:pt>
                <c:pt idx="82">
                  <c:v>338.49863862374</c:v>
                </c:pt>
                <c:pt idx="83">
                  <c:v>290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"Estado 1"</c:f>
              <c:strCache>
                <c:ptCount val="1"/>
                <c:pt idx="0">
                  <c:v>Estado 1</c:v>
                </c:pt>
              </c:strCache>
            </c:strRef>
          </c:tx>
          <c:spPr>
            <a:solidFill>
              <a:srgbClr val="15233f"/>
            </a:solidFill>
            <a:ln w="0">
              <a:solidFill>
                <a:srgbClr val="15233f"/>
              </a:solidFill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Ciclo_Otto!$E$15</c:f>
              <c:numCache>
                <c:formatCode>0.0000</c:formatCode>
                <c:ptCount val="1"/>
                <c:pt idx="0">
                  <c:v>0</c:v>
                </c:pt>
              </c:numCache>
            </c:numRef>
          </c:xVal>
          <c:yVal>
            <c:numRef>
              <c:f>Ciclo_Otto!$D$15</c:f>
              <c:numCache>
                <c:formatCode>0.0</c:formatCode>
                <c:ptCount val="1"/>
                <c:pt idx="0">
                  <c:v>290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"Estado 2"</c:f>
              <c:strCache>
                <c:ptCount val="1"/>
                <c:pt idx="0">
                  <c:v>Estado 2</c:v>
                </c:pt>
              </c:strCache>
            </c:strRef>
          </c:tx>
          <c:spPr>
            <a:solidFill>
              <a:srgbClr val="15233f"/>
            </a:solidFill>
            <a:ln w="0">
              <a:solidFill>
                <a:srgbClr val="15233f"/>
              </a:solidFill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Ciclo_Otto!$E$16</c:f>
              <c:numCache>
                <c:formatCode>0.0000</c:formatCode>
                <c:ptCount val="1"/>
                <c:pt idx="0">
                  <c:v>0</c:v>
                </c:pt>
              </c:numCache>
            </c:numRef>
          </c:xVal>
          <c:yVal>
            <c:numRef>
              <c:f>Ciclo_Otto!$D$16</c:f>
              <c:numCache>
                <c:formatCode>0.0</c:formatCode>
                <c:ptCount val="1"/>
                <c:pt idx="0">
                  <c:v>666.24504589828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"Estado 3"</c:f>
              <c:strCache>
                <c:ptCount val="1"/>
                <c:pt idx="0">
                  <c:v>Estado 3</c:v>
                </c:pt>
              </c:strCache>
            </c:strRef>
          </c:tx>
          <c:spPr>
            <a:solidFill>
              <a:srgbClr val="15233f"/>
            </a:solidFill>
            <a:ln w="0">
              <a:solidFill>
                <a:srgbClr val="15233f"/>
              </a:solidFill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Ciclo_Otto!$E$17</c:f>
              <c:numCache>
                <c:formatCode>0.0000</c:formatCode>
                <c:ptCount val="1"/>
                <c:pt idx="0">
                  <c:v>0.705768539772589</c:v>
                </c:pt>
              </c:numCache>
            </c:numRef>
          </c:xVal>
          <c:yVal>
            <c:numRef>
              <c:f>Ciclo_Otto!$D$17</c:f>
              <c:numCache>
                <c:formatCode>0.0</c:formatCode>
                <c:ptCount val="1"/>
                <c:pt idx="0">
                  <c:v>1780.45117403199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"Estado 4"</c:f>
              <c:strCache>
                <c:ptCount val="1"/>
                <c:pt idx="0">
                  <c:v>Estado 4</c:v>
                </c:pt>
              </c:strCache>
            </c:strRef>
          </c:tx>
          <c:spPr>
            <a:solidFill>
              <a:srgbClr val="15233f"/>
            </a:solidFill>
            <a:ln w="0">
              <a:solidFill>
                <a:srgbClr val="15233f"/>
              </a:solidFill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Ciclo_Otto!$E$18</c:f>
              <c:numCache>
                <c:formatCode>0.0000</c:formatCode>
                <c:ptCount val="1"/>
                <c:pt idx="0">
                  <c:v>0.705768539772589</c:v>
                </c:pt>
              </c:numCache>
            </c:numRef>
          </c:xVal>
          <c:yVal>
            <c:numRef>
              <c:f>Ciclo_Otto!$D$18</c:f>
              <c:numCache>
                <c:formatCode>0.0</c:formatCode>
                <c:ptCount val="1"/>
                <c:pt idx="0">
                  <c:v>774.986386237395</c:v>
                </c:pt>
              </c:numCache>
            </c:numRef>
          </c:yVal>
          <c:smooth val="0"/>
        </c:ser>
        <c:axId val="21379610"/>
        <c:axId val="69397246"/>
      </c:scatterChart>
      <c:valAx>
        <c:axId val="2137961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Entropía s – s1 (kJ/kg·K)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97246"/>
        <c:crosses val="autoZero"/>
        <c:crossBetween val="midCat"/>
      </c:valAx>
      <c:valAx>
        <c:axId val="693972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Temperatura T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37961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P–v del ciclo Diesel ideal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"Ciclo Diesel"</c:f>
              <c:strCache>
                <c:ptCount val="1"/>
                <c:pt idx="0">
                  <c:v>Ciclo Diesel</c:v>
                </c:pt>
              </c:strCache>
            </c:strRef>
          </c:tx>
          <c:spPr>
            <a:solidFill>
              <a:srgbClr val="e4572e"/>
            </a:solidFill>
            <a:ln w="28080">
              <a:solidFill>
                <a:srgbClr val="e457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Ciclo_Diesel!$B$35:$B$118</c:f>
              <c:numCache>
                <c:formatCode>0.0000</c:formatCode>
                <c:ptCount val="84"/>
                <c:pt idx="0">
                  <c:v>0.906315789473684</c:v>
                </c:pt>
                <c:pt idx="1">
                  <c:v>0.877783625730994</c:v>
                </c:pt>
                <c:pt idx="2">
                  <c:v>0.849251461988304</c:v>
                </c:pt>
                <c:pt idx="3">
                  <c:v>0.820719298245614</c:v>
                </c:pt>
                <c:pt idx="4">
                  <c:v>0.792187134502924</c:v>
                </c:pt>
                <c:pt idx="5">
                  <c:v>0.763654970760234</c:v>
                </c:pt>
                <c:pt idx="6">
                  <c:v>0.735122807017544</c:v>
                </c:pt>
                <c:pt idx="7">
                  <c:v>0.706590643274854</c:v>
                </c:pt>
                <c:pt idx="8">
                  <c:v>0.678058479532164</c:v>
                </c:pt>
                <c:pt idx="9">
                  <c:v>0.649526315789474</c:v>
                </c:pt>
                <c:pt idx="10">
                  <c:v>0.620994152046784</c:v>
                </c:pt>
                <c:pt idx="11">
                  <c:v>0.592461988304094</c:v>
                </c:pt>
                <c:pt idx="12">
                  <c:v>0.563929824561404</c:v>
                </c:pt>
                <c:pt idx="13">
                  <c:v>0.535397660818713</c:v>
                </c:pt>
                <c:pt idx="14">
                  <c:v>0.506865497076023</c:v>
                </c:pt>
                <c:pt idx="15">
                  <c:v>0.478333333333333</c:v>
                </c:pt>
                <c:pt idx="16">
                  <c:v>0.449801169590643</c:v>
                </c:pt>
                <c:pt idx="17">
                  <c:v>0.421269005847953</c:v>
                </c:pt>
                <c:pt idx="18">
                  <c:v>0.392736842105263</c:v>
                </c:pt>
                <c:pt idx="19">
                  <c:v>0.364204678362573</c:v>
                </c:pt>
                <c:pt idx="20">
                  <c:v>0.335672514619883</c:v>
                </c:pt>
                <c:pt idx="21">
                  <c:v>0.307140350877193</c:v>
                </c:pt>
                <c:pt idx="22">
                  <c:v>0.278608187134503</c:v>
                </c:pt>
                <c:pt idx="23">
                  <c:v>0.250076023391813</c:v>
                </c:pt>
                <c:pt idx="24">
                  <c:v>0.221543859649123</c:v>
                </c:pt>
                <c:pt idx="25">
                  <c:v>0.193011695906433</c:v>
                </c:pt>
                <c:pt idx="26">
                  <c:v>0.164479532163743</c:v>
                </c:pt>
                <c:pt idx="27">
                  <c:v>0.135947368421053</c:v>
                </c:pt>
                <c:pt idx="28">
                  <c:v>0.107415204678363</c:v>
                </c:pt>
                <c:pt idx="29">
                  <c:v>0.0788830409356726</c:v>
                </c:pt>
                <c:pt idx="30">
                  <c:v>0.0503508771929825</c:v>
                </c:pt>
                <c:pt idx="31">
                  <c:v>0.0503508771929825</c:v>
                </c:pt>
                <c:pt idx="32">
                  <c:v>0.0553859649122807</c:v>
                </c:pt>
                <c:pt idx="33">
                  <c:v>0.0604210526315789</c:v>
                </c:pt>
                <c:pt idx="34">
                  <c:v>0.0654561403508772</c:v>
                </c:pt>
                <c:pt idx="35">
                  <c:v>0.0704912280701754</c:v>
                </c:pt>
                <c:pt idx="36">
                  <c:v>0.0755263157894737</c:v>
                </c:pt>
                <c:pt idx="37">
                  <c:v>0.0805614035087719</c:v>
                </c:pt>
                <c:pt idx="38">
                  <c:v>0.0855964912280702</c:v>
                </c:pt>
                <c:pt idx="39">
                  <c:v>0.0906315789473684</c:v>
                </c:pt>
                <c:pt idx="40">
                  <c:v>0.0956666666666667</c:v>
                </c:pt>
                <c:pt idx="41">
                  <c:v>0.100701754385965</c:v>
                </c:pt>
                <c:pt idx="42">
                  <c:v>0.100701754385965</c:v>
                </c:pt>
                <c:pt idx="43">
                  <c:v>0.127555555555556</c:v>
                </c:pt>
                <c:pt idx="44">
                  <c:v>0.154409356725146</c:v>
                </c:pt>
                <c:pt idx="45">
                  <c:v>0.181263157894737</c:v>
                </c:pt>
                <c:pt idx="46">
                  <c:v>0.208116959064327</c:v>
                </c:pt>
                <c:pt idx="47">
                  <c:v>0.234970760233918</c:v>
                </c:pt>
                <c:pt idx="48">
                  <c:v>0.261824561403509</c:v>
                </c:pt>
                <c:pt idx="49">
                  <c:v>0.288678362573099</c:v>
                </c:pt>
                <c:pt idx="50">
                  <c:v>0.31553216374269</c:v>
                </c:pt>
                <c:pt idx="51">
                  <c:v>0.342385964912281</c:v>
                </c:pt>
                <c:pt idx="52">
                  <c:v>0.369239766081871</c:v>
                </c:pt>
                <c:pt idx="53">
                  <c:v>0.396093567251462</c:v>
                </c:pt>
                <c:pt idx="54">
                  <c:v>0.422947368421053</c:v>
                </c:pt>
                <c:pt idx="55">
                  <c:v>0.449801169590643</c:v>
                </c:pt>
                <c:pt idx="56">
                  <c:v>0.476654970760234</c:v>
                </c:pt>
                <c:pt idx="57">
                  <c:v>0.503508771929825</c:v>
                </c:pt>
                <c:pt idx="58">
                  <c:v>0.530362573099415</c:v>
                </c:pt>
                <c:pt idx="59">
                  <c:v>0.557216374269006</c:v>
                </c:pt>
                <c:pt idx="60">
                  <c:v>0.584070175438596</c:v>
                </c:pt>
                <c:pt idx="61">
                  <c:v>0.610923976608187</c:v>
                </c:pt>
                <c:pt idx="62">
                  <c:v>0.637777777777778</c:v>
                </c:pt>
                <c:pt idx="63">
                  <c:v>0.664631578947369</c:v>
                </c:pt>
                <c:pt idx="64">
                  <c:v>0.691485380116959</c:v>
                </c:pt>
                <c:pt idx="65">
                  <c:v>0.71833918128655</c:v>
                </c:pt>
                <c:pt idx="66">
                  <c:v>0.74519298245614</c:v>
                </c:pt>
                <c:pt idx="67">
                  <c:v>0.772046783625731</c:v>
                </c:pt>
                <c:pt idx="68">
                  <c:v>0.798900584795322</c:v>
                </c:pt>
                <c:pt idx="69">
                  <c:v>0.825754385964912</c:v>
                </c:pt>
                <c:pt idx="70">
                  <c:v>0.852608187134503</c:v>
                </c:pt>
                <c:pt idx="71">
                  <c:v>0.879461988304094</c:v>
                </c:pt>
                <c:pt idx="72">
                  <c:v>0.906315789473684</c:v>
                </c:pt>
                <c:pt idx="73">
                  <c:v>0.906315789473684</c:v>
                </c:pt>
                <c:pt idx="74">
                  <c:v>0.906315789473684</c:v>
                </c:pt>
                <c:pt idx="75">
                  <c:v>0.906315789473684</c:v>
                </c:pt>
                <c:pt idx="76">
                  <c:v>0.906315789473684</c:v>
                </c:pt>
                <c:pt idx="77">
                  <c:v>0.906315789473684</c:v>
                </c:pt>
                <c:pt idx="78">
                  <c:v>0.906315789473684</c:v>
                </c:pt>
                <c:pt idx="79">
                  <c:v>0.906315789473684</c:v>
                </c:pt>
                <c:pt idx="80">
                  <c:v>0.906315789473684</c:v>
                </c:pt>
                <c:pt idx="81">
                  <c:v>0.906315789473684</c:v>
                </c:pt>
                <c:pt idx="82">
                  <c:v>0.906315789473684</c:v>
                </c:pt>
                <c:pt idx="83">
                  <c:v>0.906315789473684</c:v>
                </c:pt>
              </c:numCache>
            </c:numRef>
          </c:xVal>
          <c:yVal>
            <c:numRef>
              <c:f>Ciclo_Diesel!$C$35:$C$118</c:f>
              <c:numCache>
                <c:formatCode>0.0</c:formatCode>
                <c:ptCount val="84"/>
                <c:pt idx="0">
                  <c:v>95</c:v>
                </c:pt>
                <c:pt idx="1">
                  <c:v>99.35105990061</c:v>
                </c:pt>
                <c:pt idx="2">
                  <c:v>104.055285576672</c:v>
                </c:pt>
                <c:pt idx="3">
                  <c:v>109.154706509911</c:v>
                </c:pt>
                <c:pt idx="4">
                  <c:v>114.698059639619</c:v>
                </c:pt>
                <c:pt idx="5">
                  <c:v>120.742152461136</c:v>
                </c:pt>
                <c:pt idx="6">
                  <c:v>127.353567254593</c:v>
                </c:pt>
                <c:pt idx="7">
                  <c:v>134.610809166141</c:v>
                </c:pt>
                <c:pt idx="8">
                  <c:v>142.607037463168</c:v>
                </c:pt>
                <c:pt idx="9">
                  <c:v>151.453571122127</c:v>
                </c:pt>
                <c:pt idx="10">
                  <c:v>161.284434326439</c:v>
                </c:pt>
                <c:pt idx="11">
                  <c:v>172.262315864287</c:v>
                </c:pt>
                <c:pt idx="12">
                  <c:v>184.586476877482</c:v>
                </c:pt>
                <c:pt idx="13">
                  <c:v>198.503383055627</c:v>
                </c:pt>
                <c:pt idx="14">
                  <c:v>214.321208215478</c:v>
                </c:pt>
                <c:pt idx="15">
                  <c:v>232.429937285686</c:v>
                </c:pt>
                <c:pt idx="16">
                  <c:v>253.32972833818</c:v>
                </c:pt>
                <c:pt idx="17">
                  <c:v>277.671725438159</c:v>
                </c:pt>
                <c:pt idx="18">
                  <c:v>306.318106431297</c:v>
                </c:pt>
                <c:pt idx="19">
                  <c:v>340.432678377542</c:v>
                </c:pt>
                <c:pt idx="20">
                  <c:v>381.621535913967</c:v>
                </c:pt>
                <c:pt idx="21">
                  <c:v>432.158782589663</c:v>
                </c:pt>
                <c:pt idx="22">
                  <c:v>495.362978272641</c:v>
                </c:pt>
                <c:pt idx="23">
                  <c:v>576.25418609556</c:v>
                </c:pt>
                <c:pt idx="24">
                  <c:v>682.765181120116</c:v>
                </c:pt>
                <c:pt idx="25">
                  <c:v>828.128807809531</c:v>
                </c:pt>
                <c:pt idx="26">
                  <c:v>1035.99667861415</c:v>
                </c:pt>
                <c:pt idx="27">
                  <c:v>1352.6824100711</c:v>
                </c:pt>
                <c:pt idx="28">
                  <c:v>1881.1477413807</c:v>
                </c:pt>
                <c:pt idx="29">
                  <c:v>2898.26350308717</c:v>
                </c:pt>
                <c:pt idx="30">
                  <c:v>5433.8183045804</c:v>
                </c:pt>
                <c:pt idx="31">
                  <c:v>5433.81830458041</c:v>
                </c:pt>
                <c:pt idx="32">
                  <c:v>5433.81830458041</c:v>
                </c:pt>
                <c:pt idx="33">
                  <c:v>5433.81830458041</c:v>
                </c:pt>
                <c:pt idx="34">
                  <c:v>5433.81830458041</c:v>
                </c:pt>
                <c:pt idx="35">
                  <c:v>5433.81830458041</c:v>
                </c:pt>
                <c:pt idx="36">
                  <c:v>5433.81830458041</c:v>
                </c:pt>
                <c:pt idx="37">
                  <c:v>5433.81830458041</c:v>
                </c:pt>
                <c:pt idx="38">
                  <c:v>5433.81830458041</c:v>
                </c:pt>
                <c:pt idx="39">
                  <c:v>5433.81830458041</c:v>
                </c:pt>
                <c:pt idx="40">
                  <c:v>5433.81830458041</c:v>
                </c:pt>
                <c:pt idx="41">
                  <c:v>5433.81830458041</c:v>
                </c:pt>
                <c:pt idx="42">
                  <c:v>5433.81830458041</c:v>
                </c:pt>
                <c:pt idx="43">
                  <c:v>3902.81381644949</c:v>
                </c:pt>
                <c:pt idx="44">
                  <c:v>2986.85338276466</c:v>
                </c:pt>
                <c:pt idx="45">
                  <c:v>2386.2921099341</c:v>
                </c:pt>
                <c:pt idx="46">
                  <c:v>1966.64740659125</c:v>
                </c:pt>
                <c:pt idx="47">
                  <c:v>1659.34852269736</c:v>
                </c:pt>
                <c:pt idx="48">
                  <c:v>1426.07519302663</c:v>
                </c:pt>
                <c:pt idx="49">
                  <c:v>1243.87585366169</c:v>
                </c:pt>
                <c:pt idx="50">
                  <c:v>1098.23650143542</c:v>
                </c:pt>
                <c:pt idx="51">
                  <c:v>979.568088390541</c:v>
                </c:pt>
                <c:pt idx="52">
                  <c:v>881.302718609519</c:v>
                </c:pt>
                <c:pt idx="53">
                  <c:v>798.803683425945</c:v>
                </c:pt>
                <c:pt idx="54">
                  <c:v>728.71230972256</c:v>
                </c:pt>
                <c:pt idx="55">
                  <c:v>668.541161152353</c:v>
                </c:pt>
                <c:pt idx="56">
                  <c:v>616.412144983793</c:v>
                </c:pt>
                <c:pt idx="57">
                  <c:v>570.882994442343</c:v>
                </c:pt>
                <c:pt idx="58">
                  <c:v>530.829374375169</c:v>
                </c:pt>
                <c:pt idx="59">
                  <c:v>495.362978272641</c:v>
                </c:pt>
                <c:pt idx="60">
                  <c:v>463.77349146176</c:v>
                </c:pt>
                <c:pt idx="61">
                  <c:v>435.48672998679</c:v>
                </c:pt>
                <c:pt idx="62">
                  <c:v>410.033960172631</c:v>
                </c:pt>
                <c:pt idx="63">
                  <c:v>387.029084522134</c:v>
                </c:pt>
                <c:pt idx="64">
                  <c:v>366.151451849763</c:v>
                </c:pt>
                <c:pt idx="65">
                  <c:v>347.132748029157</c:v>
                </c:pt>
                <c:pt idx="66">
                  <c:v>329.746887426479</c:v>
                </c:pt>
                <c:pt idx="67">
                  <c:v>313.802138300353</c:v>
                </c:pt>
                <c:pt idx="68">
                  <c:v>299.134930400996</c:v>
                </c:pt>
                <c:pt idx="69">
                  <c:v>285.60494269676</c:v>
                </c:pt>
                <c:pt idx="70">
                  <c:v>273.091174827769</c:v>
                </c:pt>
                <c:pt idx="71">
                  <c:v>261.488781423003</c:v>
                </c:pt>
                <c:pt idx="72">
                  <c:v>250.70650304685</c:v>
                </c:pt>
                <c:pt idx="73">
                  <c:v>250.70650304685</c:v>
                </c:pt>
                <c:pt idx="74">
                  <c:v>235.135852742165</c:v>
                </c:pt>
                <c:pt idx="75">
                  <c:v>219.56520243748</c:v>
                </c:pt>
                <c:pt idx="76">
                  <c:v>203.994552132795</c:v>
                </c:pt>
                <c:pt idx="77">
                  <c:v>188.42390182811</c:v>
                </c:pt>
                <c:pt idx="78">
                  <c:v>172.853251523425</c:v>
                </c:pt>
                <c:pt idx="79">
                  <c:v>157.28260121874</c:v>
                </c:pt>
                <c:pt idx="80">
                  <c:v>141.711950914055</c:v>
                </c:pt>
                <c:pt idx="81">
                  <c:v>126.14130060937</c:v>
                </c:pt>
                <c:pt idx="82">
                  <c:v>110.570650304685</c:v>
                </c:pt>
                <c:pt idx="83">
                  <c:v>95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"Estado 1"</c:f>
              <c:strCache>
                <c:ptCount val="1"/>
                <c:pt idx="0">
                  <c:v>Estado 1</c:v>
                </c:pt>
              </c:strCache>
            </c:strRef>
          </c:tx>
          <c:spPr>
            <a:solidFill>
              <a:srgbClr val="15233f"/>
            </a:solidFill>
            <a:ln w="0">
              <a:solidFill>
                <a:srgbClr val="15233f"/>
              </a:solidFill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Ciclo_Diesel!$C$16</c:f>
              <c:numCache>
                <c:formatCode>0.0000</c:formatCode>
                <c:ptCount val="1"/>
                <c:pt idx="0">
                  <c:v>0.906315789473684</c:v>
                </c:pt>
              </c:numCache>
            </c:numRef>
          </c:xVal>
          <c:yVal>
            <c:numRef>
              <c:f>Ciclo_Diesel!$B$16</c:f>
              <c:numCache>
                <c:formatCode>0.0</c:formatCode>
                <c:ptCount val="1"/>
                <c:pt idx="0">
                  <c:v>95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"Estado 2"</c:f>
              <c:strCache>
                <c:ptCount val="1"/>
                <c:pt idx="0">
                  <c:v>Estado 2</c:v>
                </c:pt>
              </c:strCache>
            </c:strRef>
          </c:tx>
          <c:spPr>
            <a:solidFill>
              <a:srgbClr val="15233f"/>
            </a:solidFill>
            <a:ln w="0">
              <a:solidFill>
                <a:srgbClr val="15233f"/>
              </a:solidFill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Ciclo_Diesel!$C$17</c:f>
              <c:numCache>
                <c:formatCode>0.0000</c:formatCode>
                <c:ptCount val="1"/>
                <c:pt idx="0">
                  <c:v>0.0503508771929825</c:v>
                </c:pt>
              </c:numCache>
            </c:numRef>
          </c:xVal>
          <c:yVal>
            <c:numRef>
              <c:f>Ciclo_Diesel!$B$17</c:f>
              <c:numCache>
                <c:formatCode>0.0</c:formatCode>
                <c:ptCount val="1"/>
                <c:pt idx="0">
                  <c:v>5433.81830458041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"Estado 3"</c:f>
              <c:strCache>
                <c:ptCount val="1"/>
                <c:pt idx="0">
                  <c:v>Estado 3</c:v>
                </c:pt>
              </c:strCache>
            </c:strRef>
          </c:tx>
          <c:spPr>
            <a:solidFill>
              <a:srgbClr val="15233f"/>
            </a:solidFill>
            <a:ln w="0">
              <a:solidFill>
                <a:srgbClr val="15233f"/>
              </a:solidFill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Ciclo_Diesel!$C$18</c:f>
              <c:numCache>
                <c:formatCode>0.0000</c:formatCode>
                <c:ptCount val="1"/>
                <c:pt idx="0">
                  <c:v>0.100701754385965</c:v>
                </c:pt>
              </c:numCache>
            </c:numRef>
          </c:xVal>
          <c:yVal>
            <c:numRef>
              <c:f>Ciclo_Diesel!$B$18</c:f>
              <c:numCache>
                <c:formatCode>0.0</c:formatCode>
                <c:ptCount val="1"/>
                <c:pt idx="0">
                  <c:v>5433.81830458041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"Estado 4"</c:f>
              <c:strCache>
                <c:ptCount val="1"/>
                <c:pt idx="0">
                  <c:v>Estado 4</c:v>
                </c:pt>
              </c:strCache>
            </c:strRef>
          </c:tx>
          <c:spPr>
            <a:solidFill>
              <a:srgbClr val="15233f"/>
            </a:solidFill>
            <a:ln w="0">
              <a:solidFill>
                <a:srgbClr val="15233f"/>
              </a:solidFill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Ciclo_Diesel!$C$19</c:f>
              <c:numCache>
                <c:formatCode>0.0000</c:formatCode>
                <c:ptCount val="1"/>
                <c:pt idx="0">
                  <c:v>0.906315789473684</c:v>
                </c:pt>
              </c:numCache>
            </c:numRef>
          </c:xVal>
          <c:yVal>
            <c:numRef>
              <c:f>Ciclo_Diesel!$B$19</c:f>
              <c:numCache>
                <c:formatCode>0.0</c:formatCode>
                <c:ptCount val="1"/>
                <c:pt idx="0">
                  <c:v>250.70650304685</c:v>
                </c:pt>
              </c:numCache>
            </c:numRef>
          </c:yVal>
          <c:smooth val="0"/>
        </c:ser>
        <c:axId val="64930977"/>
        <c:axId val="3150780"/>
      </c:scatterChart>
      <c:valAx>
        <c:axId val="6493097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Volumen específico v (m³/kg)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0780"/>
        <c:crosses val="autoZero"/>
        <c:crossBetween val="midCat"/>
      </c:valAx>
      <c:valAx>
        <c:axId val="31507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Presión 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3097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T–s del ciclo Diesel ideal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"Ciclo Diesel"</c:f>
              <c:strCache>
                <c:ptCount val="1"/>
                <c:pt idx="0">
                  <c:v>Ciclo Diesel</c:v>
                </c:pt>
              </c:strCache>
            </c:strRef>
          </c:tx>
          <c:spPr>
            <a:solidFill>
              <a:srgbClr val="0e7c7b"/>
            </a:solidFill>
            <a:ln w="28080">
              <a:solidFill>
                <a:srgbClr val="0e7c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Ciclo_Diesel!$E$35:$E$118</c:f>
              <c:numCache>
                <c:formatCode>0.0000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2.23154827949656E-016</c:v>
                </c:pt>
                <c:pt idx="32">
                  <c:v>0.0957867307033466</c:v>
                </c:pt>
                <c:pt idx="33">
                  <c:v>0.183233164577925</c:v>
                </c:pt>
                <c:pt idx="34">
                  <c:v>0.263676085789828</c:v>
                </c:pt>
                <c:pt idx="35">
                  <c:v>0.338154597804319</c:v>
                </c:pt>
                <c:pt idx="36">
                  <c:v>0.407492433648705</c:v>
                </c:pt>
                <c:pt idx="37">
                  <c:v>0.472353647391964</c:v>
                </c:pt>
                <c:pt idx="38">
                  <c:v>0.533281392317481</c:v>
                </c:pt>
                <c:pt idx="39">
                  <c:v>0.59072559822663</c:v>
                </c:pt>
                <c:pt idx="40">
                  <c:v>0.645063155603257</c:v>
                </c:pt>
                <c:pt idx="41">
                  <c:v>0.696612916462745</c:v>
                </c:pt>
                <c:pt idx="42">
                  <c:v>0.696612916462745</c:v>
                </c:pt>
                <c:pt idx="43">
                  <c:v>0.696612916462745</c:v>
                </c:pt>
                <c:pt idx="44">
                  <c:v>0.696612916462745</c:v>
                </c:pt>
                <c:pt idx="45">
                  <c:v>0.696612916462745</c:v>
                </c:pt>
                <c:pt idx="46">
                  <c:v>0.696612916462745</c:v>
                </c:pt>
                <c:pt idx="47">
                  <c:v>0.696612916462745</c:v>
                </c:pt>
                <c:pt idx="48">
                  <c:v>0.696612916462745</c:v>
                </c:pt>
                <c:pt idx="49">
                  <c:v>0.696612916462745</c:v>
                </c:pt>
                <c:pt idx="50">
                  <c:v>0.696612916462745</c:v>
                </c:pt>
                <c:pt idx="51">
                  <c:v>0.696612916462745</c:v>
                </c:pt>
                <c:pt idx="52">
                  <c:v>0.696612916462745</c:v>
                </c:pt>
                <c:pt idx="53">
                  <c:v>0.696612916462745</c:v>
                </c:pt>
                <c:pt idx="54">
                  <c:v>0.696612916462745</c:v>
                </c:pt>
                <c:pt idx="55">
                  <c:v>0.696612916462745</c:v>
                </c:pt>
                <c:pt idx="56">
                  <c:v>0.696612916462745</c:v>
                </c:pt>
                <c:pt idx="57">
                  <c:v>0.696612916462745</c:v>
                </c:pt>
                <c:pt idx="58">
                  <c:v>0.696612916462745</c:v>
                </c:pt>
                <c:pt idx="59">
                  <c:v>0.696612916462745</c:v>
                </c:pt>
                <c:pt idx="60">
                  <c:v>0.696612916462745</c:v>
                </c:pt>
                <c:pt idx="61">
                  <c:v>0.696612916462745</c:v>
                </c:pt>
                <c:pt idx="62">
                  <c:v>0.696612916462745</c:v>
                </c:pt>
                <c:pt idx="63">
                  <c:v>0.696612916462745</c:v>
                </c:pt>
                <c:pt idx="64">
                  <c:v>0.696612916462745</c:v>
                </c:pt>
                <c:pt idx="65">
                  <c:v>0.696612916462745</c:v>
                </c:pt>
                <c:pt idx="66">
                  <c:v>0.696612916462745</c:v>
                </c:pt>
                <c:pt idx="67">
                  <c:v>0.696612916462745</c:v>
                </c:pt>
                <c:pt idx="68">
                  <c:v>0.696612916462745</c:v>
                </c:pt>
                <c:pt idx="69">
                  <c:v>0.696612916462745</c:v>
                </c:pt>
                <c:pt idx="70">
                  <c:v>0.696612916462745</c:v>
                </c:pt>
                <c:pt idx="71">
                  <c:v>0.696612916462745</c:v>
                </c:pt>
                <c:pt idx="72">
                  <c:v>0.696612916462745</c:v>
                </c:pt>
                <c:pt idx="73">
                  <c:v>0.696612916462745</c:v>
                </c:pt>
                <c:pt idx="74">
                  <c:v>0.650575115104675</c:v>
                </c:pt>
                <c:pt idx="75">
                  <c:v>0.601381915446515</c:v>
                </c:pt>
                <c:pt idx="76">
                  <c:v>0.548568743362671</c:v>
                </c:pt>
                <c:pt idx="77">
                  <c:v>0.491560213466222</c:v>
                </c:pt>
                <c:pt idx="78">
                  <c:v>0.4296318201924</c:v>
                </c:pt>
                <c:pt idx="79">
                  <c:v>0.361853494432281</c:v>
                </c:pt>
                <c:pt idx="80">
                  <c:v>0.28700363696539</c:v>
                </c:pt>
                <c:pt idx="81">
                  <c:v>0.203432909626816</c:v>
                </c:pt>
                <c:pt idx="82">
                  <c:v>0.108837826886353</c:v>
                </c:pt>
                <c:pt idx="83">
                  <c:v>-0.000138629436112092</c:v>
                </c:pt>
              </c:numCache>
            </c:numRef>
          </c:xVal>
          <c:yVal>
            <c:numRef>
              <c:f>Ciclo_Diesel!$D$35:$D$118</c:f>
              <c:numCache>
                <c:formatCode>0.0</c:formatCode>
                <c:ptCount val="84"/>
                <c:pt idx="0">
                  <c:v>300</c:v>
                </c:pt>
                <c:pt idx="1">
                  <c:v>303.86318320479</c:v>
                </c:pt>
                <c:pt idx="2">
                  <c:v>307.906283636233</c:v>
                </c:pt>
                <c:pt idx="3">
                  <c:v>312.144160721325</c:v>
                </c:pt>
                <c:pt idx="4">
                  <c:v>316.593474560821</c:v>
                </c:pt>
                <c:pt idx="5">
                  <c:v>321.27297877086</c:v>
                </c:pt>
                <c:pt idx="6">
                  <c:v>326.203874020537</c:v>
                </c:pt>
                <c:pt idx="7">
                  <c:v>331.410237771609</c:v>
                </c:pt>
                <c:pt idx="8">
                  <c:v>336.919550497776</c:v>
                </c:pt>
                <c:pt idx="9">
                  <c:v>342.763345171129</c:v>
                </c:pt>
                <c:pt idx="10">
                  <c:v>348.97801579405</c:v>
                </c:pt>
                <c:pt idx="11">
                  <c:v>355.605833333879</c:v>
                </c:pt>
                <c:pt idx="12">
                  <c:v>362.696235268034</c:v>
                </c:pt>
                <c:pt idx="13">
                  <c:v>370.307480671023</c:v>
                </c:pt>
                <c:pt idx="14">
                  <c:v>378.508800474119</c:v>
                </c:pt>
                <c:pt idx="15">
                  <c:v>387.383228809477</c:v>
                </c:pt>
                <c:pt idx="16">
                  <c:v>397.031387103112</c:v>
                </c:pt>
                <c:pt idx="17">
                  <c:v>407.576626227942</c:v>
                </c:pt>
                <c:pt idx="18">
                  <c:v>419.172145642828</c:v>
                </c:pt>
                <c:pt idx="19">
                  <c:v>432.011059695478</c:v>
                </c:pt>
                <c:pt idx="20">
                  <c:v>446.340977677155</c:v>
                </c:pt>
                <c:pt idx="21">
                  <c:v>462.485714701218</c:v>
                </c:pt>
                <c:pt idx="22">
                  <c:v>480.87868066233</c:v>
                </c:pt>
                <c:pt idx="23">
                  <c:v>502.116220632973</c:v>
                </c:pt>
                <c:pt idx="24">
                  <c:v>527.046806478686</c:v>
                </c:pt>
                <c:pt idx="25">
                  <c:v>556.928730398223</c:v>
                </c:pt>
                <c:pt idx="26">
                  <c:v>593.729090667757</c:v>
                </c:pt>
                <c:pt idx="27">
                  <c:v>640.744299507361</c:v>
                </c:pt>
                <c:pt idx="28">
                  <c:v>704.055295019677</c:v>
                </c:pt>
                <c:pt idx="29">
                  <c:v>796.598740614602</c:v>
                </c:pt>
                <c:pt idx="30">
                  <c:v>953.301456943931</c:v>
                </c:pt>
                <c:pt idx="31">
                  <c:v>953.301456943931</c:v>
                </c:pt>
                <c:pt idx="32">
                  <c:v>1048.63160263832</c:v>
                </c:pt>
                <c:pt idx="33">
                  <c:v>1143.96174833272</c:v>
                </c:pt>
                <c:pt idx="34">
                  <c:v>1239.29189402711</c:v>
                </c:pt>
                <c:pt idx="35">
                  <c:v>1334.6220397215</c:v>
                </c:pt>
                <c:pt idx="36">
                  <c:v>1429.9521854159</c:v>
                </c:pt>
                <c:pt idx="37">
                  <c:v>1525.28233111029</c:v>
                </c:pt>
                <c:pt idx="38">
                  <c:v>1620.61247680468</c:v>
                </c:pt>
                <c:pt idx="39">
                  <c:v>1715.94262249908</c:v>
                </c:pt>
                <c:pt idx="40">
                  <c:v>1811.27276819347</c:v>
                </c:pt>
                <c:pt idx="41">
                  <c:v>1906.60291388786</c:v>
                </c:pt>
                <c:pt idx="42">
                  <c:v>1906.60291388786</c:v>
                </c:pt>
                <c:pt idx="43">
                  <c:v>1734.583918422</c:v>
                </c:pt>
                <c:pt idx="44">
                  <c:v>1606.96205388508</c:v>
                </c:pt>
                <c:pt idx="45">
                  <c:v>1507.13185890575</c:v>
                </c:pt>
                <c:pt idx="46">
                  <c:v>1426.10689132933</c:v>
                </c:pt>
                <c:pt idx="47">
                  <c:v>1358.53095425515</c:v>
                </c:pt>
                <c:pt idx="48">
                  <c:v>1300.98087784885</c:v>
                </c:pt>
                <c:pt idx="49">
                  <c:v>1251.14998146089</c:v>
                </c:pt>
                <c:pt idx="50">
                  <c:v>1207.41790801087</c:v>
                </c:pt>
                <c:pt idx="51">
                  <c:v>1168.60754404486</c:v>
                </c:pt>
                <c:pt idx="52">
                  <c:v>1133.83975493622</c:v>
                </c:pt>
                <c:pt idx="53">
                  <c:v>1102.4425104592</c:v>
                </c:pt>
                <c:pt idx="54">
                  <c:v>1073.8918248543</c:v>
                </c:pt>
                <c:pt idx="55">
                  <c:v>1047.77211221538</c:v>
                </c:pt>
                <c:pt idx="56">
                  <c:v>1023.74882558712</c:v>
                </c:pt>
                <c:pt idx="57">
                  <c:v>1001.54911305674</c:v>
                </c:pt>
                <c:pt idx="58">
                  <c:v>980.947849722534</c:v>
                </c:pt>
                <c:pt idx="59">
                  <c:v>961.757361324659</c:v>
                </c:pt>
                <c:pt idx="60">
                  <c:v>943.819737009897</c:v>
                </c:pt>
                <c:pt idx="61">
                  <c:v>927.000992486501</c:v>
                </c:pt>
                <c:pt idx="62">
                  <c:v>911.186578161402</c:v>
                </c:pt>
                <c:pt idx="63">
                  <c:v>896.277879945994</c:v>
                </c:pt>
                <c:pt idx="64">
                  <c:v>882.189462936271</c:v>
                </c:pt>
                <c:pt idx="65">
                  <c:v>868.846878108066</c:v>
                </c:pt>
                <c:pt idx="66">
                  <c:v>856.184900686296</c:v>
                </c:pt>
                <c:pt idx="67">
                  <c:v>844.14610303019</c:v>
                </c:pt>
                <c:pt idx="68">
                  <c:v>832.679689303358</c:v>
                </c:pt>
                <c:pt idx="69">
                  <c:v>821.740536881907</c:v>
                </c:pt>
                <c:pt idx="70">
                  <c:v>811.288402412318</c:v>
                </c:pt>
                <c:pt idx="71">
                  <c:v>801.287260033063</c:v>
                </c:pt>
                <c:pt idx="72">
                  <c:v>791.704746463737</c:v>
                </c:pt>
                <c:pt idx="73">
                  <c:v>791.704746463737</c:v>
                </c:pt>
                <c:pt idx="74">
                  <c:v>742.534271817363</c:v>
                </c:pt>
                <c:pt idx="75">
                  <c:v>693.363797170989</c:v>
                </c:pt>
                <c:pt idx="76">
                  <c:v>644.193322524616</c:v>
                </c:pt>
                <c:pt idx="77">
                  <c:v>595.022847878242</c:v>
                </c:pt>
                <c:pt idx="78">
                  <c:v>545.852373231868</c:v>
                </c:pt>
                <c:pt idx="79">
                  <c:v>496.681898585495</c:v>
                </c:pt>
                <c:pt idx="80">
                  <c:v>447.511423939121</c:v>
                </c:pt>
                <c:pt idx="81">
                  <c:v>398.340949292747</c:v>
                </c:pt>
                <c:pt idx="82">
                  <c:v>349.170474646374</c:v>
                </c:pt>
                <c:pt idx="83">
                  <c:v>300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"Estado 1"</c:f>
              <c:strCache>
                <c:ptCount val="1"/>
                <c:pt idx="0">
                  <c:v>Estado 1</c:v>
                </c:pt>
              </c:strCache>
            </c:strRef>
          </c:tx>
          <c:spPr>
            <a:solidFill>
              <a:srgbClr val="15233f"/>
            </a:solidFill>
            <a:ln w="0">
              <a:solidFill>
                <a:srgbClr val="15233f"/>
              </a:solidFill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Ciclo_Diesel!$E$16</c:f>
              <c:numCache>
                <c:formatCode>0.0000</c:formatCode>
                <c:ptCount val="1"/>
                <c:pt idx="0">
                  <c:v>0</c:v>
                </c:pt>
              </c:numCache>
            </c:numRef>
          </c:xVal>
          <c:yVal>
            <c:numRef>
              <c:f>Ciclo_Diesel!$D$16</c:f>
              <c:numCache>
                <c:formatCode>0.0</c:formatCode>
                <c:ptCount val="1"/>
                <c:pt idx="0">
                  <c:v>300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"Estado 2"</c:f>
              <c:strCache>
                <c:ptCount val="1"/>
                <c:pt idx="0">
                  <c:v>Estado 2</c:v>
                </c:pt>
              </c:strCache>
            </c:strRef>
          </c:tx>
          <c:spPr>
            <a:solidFill>
              <a:srgbClr val="15233f"/>
            </a:solidFill>
            <a:ln w="0">
              <a:solidFill>
                <a:srgbClr val="15233f"/>
              </a:solidFill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Ciclo_Diesel!$E$17</c:f>
              <c:numCache>
                <c:formatCode>0.0000</c:formatCode>
                <c:ptCount val="1"/>
                <c:pt idx="0">
                  <c:v>0</c:v>
                </c:pt>
              </c:numCache>
            </c:numRef>
          </c:xVal>
          <c:yVal>
            <c:numRef>
              <c:f>Ciclo_Diesel!$D$17</c:f>
              <c:numCache>
                <c:formatCode>0.0</c:formatCode>
                <c:ptCount val="1"/>
                <c:pt idx="0">
                  <c:v>953.301456943931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"Estado 3"</c:f>
              <c:strCache>
                <c:ptCount val="1"/>
                <c:pt idx="0">
                  <c:v>Estado 3</c:v>
                </c:pt>
              </c:strCache>
            </c:strRef>
          </c:tx>
          <c:spPr>
            <a:solidFill>
              <a:srgbClr val="15233f"/>
            </a:solidFill>
            <a:ln w="0">
              <a:solidFill>
                <a:srgbClr val="15233f"/>
              </a:solidFill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Ciclo_Diesel!$E$18</c:f>
              <c:numCache>
                <c:formatCode>0.0000</c:formatCode>
                <c:ptCount val="1"/>
                <c:pt idx="0">
                  <c:v>0.696612916462745</c:v>
                </c:pt>
              </c:numCache>
            </c:numRef>
          </c:xVal>
          <c:yVal>
            <c:numRef>
              <c:f>Ciclo_Diesel!$D$18</c:f>
              <c:numCache>
                <c:formatCode>0.0</c:formatCode>
                <c:ptCount val="1"/>
                <c:pt idx="0">
                  <c:v>1906.60291388786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"Estado 4"</c:f>
              <c:strCache>
                <c:ptCount val="1"/>
                <c:pt idx="0">
                  <c:v>Estado 4</c:v>
                </c:pt>
              </c:strCache>
            </c:strRef>
          </c:tx>
          <c:spPr>
            <a:solidFill>
              <a:srgbClr val="15233f"/>
            </a:solidFill>
            <a:ln w="0">
              <a:solidFill>
                <a:srgbClr val="15233f"/>
              </a:solidFill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Ciclo_Diesel!$E$19</c:f>
              <c:numCache>
                <c:formatCode>0.0000</c:formatCode>
                <c:ptCount val="1"/>
                <c:pt idx="0">
                  <c:v>0.696612916462745</c:v>
                </c:pt>
              </c:numCache>
            </c:numRef>
          </c:xVal>
          <c:yVal>
            <c:numRef>
              <c:f>Ciclo_Diesel!$D$19</c:f>
              <c:numCache>
                <c:formatCode>0.0</c:formatCode>
                <c:ptCount val="1"/>
                <c:pt idx="0">
                  <c:v>791.704746463737</c:v>
                </c:pt>
              </c:numCache>
            </c:numRef>
          </c:yVal>
          <c:smooth val="0"/>
        </c:ser>
        <c:axId val="83030997"/>
        <c:axId val="22924944"/>
      </c:scatterChart>
      <c:valAx>
        <c:axId val="830309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Entropía s – s1 (kJ/kg·K)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24944"/>
        <c:crosses val="autoZero"/>
        <c:crossBetween val="midCat"/>
      </c:valAx>
      <c:valAx>
        <c:axId val="229249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Temperatura T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3099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Rendimiento térmico del ciclo ideal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"Otto"</c:f>
              <c:strCache>
                <c:ptCount val="1"/>
                <c:pt idx="0">
                  <c:v>Otto</c:v>
                </c:pt>
              </c:strCache>
            </c:strRef>
          </c:tx>
          <c:spPr>
            <a:solidFill>
              <a:srgbClr val="e4572e"/>
            </a:solidFill>
            <a:ln w="28080">
              <a:solidFill>
                <a:srgbClr val="e457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Rendimiento_r!$A$9:$A$31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</c:numCache>
            </c:numRef>
          </c:xVal>
          <c:yVal>
            <c:numRef>
              <c:f>Rendimiento_r!$B$9:$B$31</c:f>
              <c:numCache>
                <c:formatCode>0.0%</c:formatCode>
                <c:ptCount val="23"/>
                <c:pt idx="0">
                  <c:v>0.242141716744801</c:v>
                </c:pt>
                <c:pt idx="1">
                  <c:v>0.355605985022746</c:v>
                </c:pt>
                <c:pt idx="2">
                  <c:v>0.425650822501482</c:v>
                </c:pt>
                <c:pt idx="3">
                  <c:v>0.474694439119246</c:v>
                </c:pt>
                <c:pt idx="4">
                  <c:v>0.511640658069413</c:v>
                </c:pt>
                <c:pt idx="5">
                  <c:v>0.540843450040566</c:v>
                </c:pt>
                <c:pt idx="6">
                  <c:v>0.564724718351938</c:v>
                </c:pt>
                <c:pt idx="7">
                  <c:v>0.584756353461494</c:v>
                </c:pt>
                <c:pt idx="8">
                  <c:v>0.601892829446503</c:v>
                </c:pt>
                <c:pt idx="9">
                  <c:v>0.616784624264373</c:v>
                </c:pt>
                <c:pt idx="10">
                  <c:v>0.629892827512847</c:v>
                </c:pt>
                <c:pt idx="11">
                  <c:v>0.641554890766456</c:v>
                </c:pt>
                <c:pt idx="12">
                  <c:v>0.652024405302363</c:v>
                </c:pt>
                <c:pt idx="13">
                  <c:v>0.661496240534173</c:v>
                </c:pt>
                <c:pt idx="14">
                  <c:v>0.670123022306776</c:v>
                </c:pt>
                <c:pt idx="15">
                  <c:v>0.678026275475383</c:v>
                </c:pt>
                <c:pt idx="16">
                  <c:v>0.685304162901699</c:v>
                </c:pt>
                <c:pt idx="17">
                  <c:v>0.69203698724162</c:v>
                </c:pt>
                <c:pt idx="18">
                  <c:v>0.698291183172742</c:v>
                </c:pt>
                <c:pt idx="19">
                  <c:v>0.704122267268536</c:v>
                </c:pt>
                <c:pt idx="20">
                  <c:v>0.709577053228001</c:v>
                </c:pt>
                <c:pt idx="21">
                  <c:v>0.71469533976018</c:v>
                </c:pt>
                <c:pt idx="22">
                  <c:v>0.71951121363845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"Diesel rc1"</c:f>
              <c:strCache>
                <c:ptCount val="1"/>
                <c:pt idx="0">
                  <c:v>Diesel rc1</c:v>
                </c:pt>
              </c:strCache>
            </c:strRef>
          </c:tx>
          <c:spPr>
            <a:solidFill>
              <a:srgbClr val="0e7c7b"/>
            </a:solidFill>
            <a:ln w="28080">
              <a:solidFill>
                <a:srgbClr val="0e7c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Rendimiento_r!$A$9:$A$31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</c:numCache>
            </c:numRef>
          </c:xVal>
          <c:yVal>
            <c:numRef>
              <c:f>Rendimiento_r!$C$9:$C$31</c:f>
              <c:numCache>
                <c:formatCode>0.0%</c:formatCode>
                <c:ptCount val="23"/>
                <c:pt idx="0">
                  <c:v>0.112755916610856</c:v>
                </c:pt>
                <c:pt idx="1">
                  <c:v>0.245591438673476</c:v>
                </c:pt>
                <c:pt idx="2">
                  <c:v>0.327594722134371</c:v>
                </c:pt>
                <c:pt idx="3">
                  <c:v>0.3850113389789</c:v>
                </c:pt>
                <c:pt idx="4">
                  <c:v>0.428265222840056</c:v>
                </c:pt>
                <c:pt idx="5">
                  <c:v>0.46245367860722</c:v>
                </c:pt>
                <c:pt idx="6">
                  <c:v>0.490412090465019</c:v>
                </c:pt>
                <c:pt idx="7">
                  <c:v>0.513863638233587</c:v>
                </c:pt>
                <c:pt idx="8">
                  <c:v>0.533925749137136</c:v>
                </c:pt>
                <c:pt idx="9">
                  <c:v>0.551359954364066</c:v>
                </c:pt>
                <c:pt idx="10">
                  <c:v>0.566706063304271</c:v>
                </c:pt>
                <c:pt idx="11">
                  <c:v>0.580359139150367</c:v>
                </c:pt>
                <c:pt idx="12">
                  <c:v>0.59261606769912</c:v>
                </c:pt>
                <c:pt idx="13">
                  <c:v>0.603704987559128</c:v>
                </c:pt>
                <c:pt idx="14">
                  <c:v>0.613804581712214</c:v>
                </c:pt>
                <c:pt idx="15">
                  <c:v>0.623057122415805</c:v>
                </c:pt>
                <c:pt idx="16">
                  <c:v>0.631577531443778</c:v>
                </c:pt>
                <c:pt idx="17">
                  <c:v>0.639459821170077</c:v>
                </c:pt>
                <c:pt idx="18">
                  <c:v>0.646781768371617</c:v>
                </c:pt>
                <c:pt idx="19">
                  <c:v>0.653608367721453</c:v>
                </c:pt>
                <c:pt idx="20">
                  <c:v>0.659994425214817</c:v>
                </c:pt>
                <c:pt idx="21">
                  <c:v>0.665986534218707</c:v>
                </c:pt>
                <c:pt idx="22">
                  <c:v>0.671624600990888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"Diesel rc2"</c:f>
              <c:strCache>
                <c:ptCount val="1"/>
                <c:pt idx="0">
                  <c:v>Diesel rc2</c:v>
                </c:pt>
              </c:strCache>
            </c:strRef>
          </c:tx>
          <c:spPr>
            <a:solidFill>
              <a:srgbClr val="15233f"/>
            </a:solidFill>
            <a:ln w="28080">
              <a:solidFill>
                <a:srgbClr val="15233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Rendimiento_r!$A$9:$A$31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</c:numCache>
            </c:numRef>
          </c:xVal>
          <c:yVal>
            <c:numRef>
              <c:f>Rendimiento_r!$D$9:$D$31</c:f>
              <c:numCache>
                <c:formatCode>0.0%</c:formatCode>
                <c:ptCount val="23"/>
                <c:pt idx="0">
                  <c:v>0.0105790056004209</c:v>
                </c:pt>
                <c:pt idx="1">
                  <c:v>0.158712148206162</c:v>
                </c:pt>
                <c:pt idx="2">
                  <c:v>0.250159103767683</c:v>
                </c:pt>
                <c:pt idx="3">
                  <c:v>0.314187940022495</c:v>
                </c:pt>
                <c:pt idx="4">
                  <c:v>0.362423032916068</c:v>
                </c:pt>
                <c:pt idx="5">
                  <c:v>0.400548703783232</c:v>
                </c:pt>
                <c:pt idx="6">
                  <c:v>0.431726865666836</c:v>
                </c:pt>
                <c:pt idx="7">
                  <c:v>0.45787914343098</c:v>
                </c:pt>
                <c:pt idx="8">
                  <c:v>0.480251649589736</c:v>
                </c:pt>
                <c:pt idx="9">
                  <c:v>0.499693614878819</c:v>
                </c:pt>
                <c:pt idx="10">
                  <c:v>0.516807014282715</c:v>
                </c:pt>
                <c:pt idx="11">
                  <c:v>0.532032407309463</c:v>
                </c:pt>
                <c:pt idx="12">
                  <c:v>0.545700869754057</c:v>
                </c:pt>
                <c:pt idx="13">
                  <c:v>0.558066813151274</c:v>
                </c:pt>
                <c:pt idx="14">
                  <c:v>0.569329497994217</c:v>
                </c:pt>
                <c:pt idx="15">
                  <c:v>0.579647580915324</c:v>
                </c:pt>
                <c:pt idx="16">
                  <c:v>0.589149218323764</c:v>
                </c:pt>
                <c:pt idx="17">
                  <c:v>0.597939249257924</c:v>
                </c:pt>
                <c:pt idx="18">
                  <c:v>0.606104407433356</c:v>
                </c:pt>
                <c:pt idx="19">
                  <c:v>0.613717172447558</c:v>
                </c:pt>
                <c:pt idx="20">
                  <c:v>0.620838661870447</c:v>
                </c:pt>
                <c:pt idx="21">
                  <c:v>0.627520834860018</c:v>
                </c:pt>
                <c:pt idx="22">
                  <c:v>0.633808193363344</c:v>
                </c:pt>
              </c:numCache>
            </c:numRef>
          </c:yVal>
          <c:smooth val="0"/>
        </c:ser>
        <c:axId val="54089150"/>
        <c:axId val="16067705"/>
      </c:scatterChart>
      <c:valAx>
        <c:axId val="5408915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Relación de compresión 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67705"/>
        <c:crosses val="autoZero"/>
        <c:crossBetween val="midCat"/>
      </c:valAx>
      <c:valAx>
        <c:axId val="16067705"/>
        <c:scaling>
          <c:orientation val="minMax"/>
          <c:max val="0.8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η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8915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Relación de compresión frente al espesor de la junta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"Rcj"</c:f>
              <c:strCache>
                <c:ptCount val="1"/>
                <c:pt idx="0">
                  <c:v>Rcj</c:v>
                </c:pt>
              </c:strCache>
            </c:strRef>
          </c:tx>
          <c:spPr>
            <a:solidFill>
              <a:srgbClr val="e4572e"/>
            </a:solidFill>
            <a:ln w="28080">
              <a:solidFill>
                <a:srgbClr val="e4572e"/>
              </a:solidFill>
              <a:round/>
            </a:ln>
          </c:spPr>
          <c:marker>
            <c:symbol val="circle"/>
            <c:size val="6"/>
            <c:spPr>
              <a:solidFill>
                <a:srgbClr val="e4572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Geometria!$A$29:$A$39</c:f>
              <c:numCache>
                <c:formatCode>General</c:formatCode>
                <c:ptCount val="11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1.25</c:v>
                </c:pt>
                <c:pt idx="4">
                  <c:v>1.5</c:v>
                </c:pt>
                <c:pt idx="5">
                  <c:v>1.75</c:v>
                </c:pt>
                <c:pt idx="6">
                  <c:v>2</c:v>
                </c:pt>
                <c:pt idx="7">
                  <c:v>2.25</c:v>
                </c:pt>
                <c:pt idx="8">
                  <c:v>2.5</c:v>
                </c:pt>
                <c:pt idx="9">
                  <c:v>2.75</c:v>
                </c:pt>
                <c:pt idx="10">
                  <c:v>3</c:v>
                </c:pt>
              </c:numCache>
            </c:numRef>
          </c:xVal>
          <c:yVal>
            <c:numRef>
              <c:f>Geometria!$C$29:$C$39</c:f>
              <c:numCache>
                <c:formatCode>0.00</c:formatCode>
                <c:ptCount val="11"/>
                <c:pt idx="0">
                  <c:v>9.43651258045641</c:v>
                </c:pt>
                <c:pt idx="1">
                  <c:v>9.2224123182207</c:v>
                </c:pt>
                <c:pt idx="2">
                  <c:v>9.01890989988877</c:v>
                </c:pt>
                <c:pt idx="3">
                  <c:v>8.82523744911805</c:v>
                </c:pt>
                <c:pt idx="4">
                  <c:v>8.64069952305247</c:v>
                </c:pt>
                <c:pt idx="5">
                  <c:v>8.46466476831478</c:v>
                </c:pt>
                <c:pt idx="6">
                  <c:v>8.29655870445344</c:v>
                </c:pt>
                <c:pt idx="7">
                  <c:v>8.1358574610245</c:v>
                </c:pt>
                <c:pt idx="8">
                  <c:v>7.98208232445521</c:v>
                </c:pt>
                <c:pt idx="9">
                  <c:v>7.83479497511259</c:v>
                </c:pt>
                <c:pt idx="10">
                  <c:v>7.69359331476323</c:v>
                </c:pt>
              </c:numCache>
            </c:numRef>
          </c:yVal>
          <c:smooth val="0"/>
        </c:ser>
        <c:axId val="68603130"/>
        <c:axId val="49317791"/>
      </c:scatterChart>
      <c:valAx>
        <c:axId val="6860313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Espesor de la junta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17791"/>
        <c:crosses val="autoZero"/>
        <c:crossBetween val="midCat"/>
      </c:valAx>
      <c:valAx>
        <c:axId val="493177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Rc con junta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0313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Curvas de par y potencia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"Par (N·m)"</c:f>
              <c:strCache>
                <c:ptCount val="1"/>
                <c:pt idx="0">
                  <c:v>Par (N·m)</c:v>
                </c:pt>
              </c:strCache>
            </c:strRef>
          </c:tx>
          <c:spPr>
            <a:solidFill>
              <a:srgbClr val="e4572e"/>
            </a:solidFill>
            <a:ln w="28080">
              <a:solidFill>
                <a:srgbClr val="e4572e"/>
              </a:solidFill>
              <a:round/>
            </a:ln>
          </c:spPr>
          <c:marker>
            <c:symbol val="circle"/>
            <c:size val="6"/>
            <c:spPr>
              <a:solidFill>
                <a:srgbClr val="e4572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Curvas!$A$8:$A$19</c:f>
              <c:numCache>
                <c:formatCode>General</c:formatCode>
                <c:ptCount val="12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4200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</c:numCache>
            </c:numRef>
          </c:xVal>
          <c:yVal>
            <c:numRef>
              <c:f>Curvas!$B$8:$B$19</c:f>
              <c:numCache>
                <c:formatCode>General</c:formatCode>
                <c:ptCount val="12"/>
                <c:pt idx="0">
                  <c:v>170</c:v>
                </c:pt>
                <c:pt idx="1">
                  <c:v>182</c:v>
                </c:pt>
                <c:pt idx="2">
                  <c:v>195</c:v>
                </c:pt>
                <c:pt idx="3">
                  <c:v>205</c:v>
                </c:pt>
                <c:pt idx="4">
                  <c:v>211</c:v>
                </c:pt>
                <c:pt idx="5">
                  <c:v>216</c:v>
                </c:pt>
                <c:pt idx="6">
                  <c:v>219</c:v>
                </c:pt>
                <c:pt idx="7">
                  <c:v>220</c:v>
                </c:pt>
                <c:pt idx="8">
                  <c:v>218</c:v>
                </c:pt>
                <c:pt idx="9">
                  <c:v>210</c:v>
                </c:pt>
                <c:pt idx="10">
                  <c:v>192</c:v>
                </c:pt>
                <c:pt idx="11">
                  <c:v>170</c:v>
                </c:pt>
              </c:numCache>
            </c:numRef>
          </c:yVal>
          <c:smooth val="0"/>
        </c:ser>
        <c:axId val="33639011"/>
        <c:axId val="62314749"/>
      </c:scatterChart>
      <c:scatterChart>
        <c:scatterStyle val="lineMarker"/>
        <c:varyColors val="0"/>
        <c:ser>
          <c:idx val="1"/>
          <c:order val="1"/>
          <c:tx>
            <c:strRef>
              <c:f>"Potencia (kW)"</c:f>
              <c:strCache>
                <c:ptCount val="1"/>
                <c:pt idx="0">
                  <c:v>Potencia (kW)</c:v>
                </c:pt>
              </c:strCache>
            </c:strRef>
          </c:tx>
          <c:spPr>
            <a:solidFill>
              <a:srgbClr val="0e7c7b"/>
            </a:solidFill>
            <a:ln w="28080">
              <a:solidFill>
                <a:srgbClr val="0e7c7b"/>
              </a:solidFill>
              <a:round/>
            </a:ln>
          </c:spPr>
          <c:marker>
            <c:symbol val="circle"/>
            <c:size val="6"/>
            <c:spPr>
              <a:solidFill>
                <a:srgbClr val="0e7c7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Curvas!$A$8:$A$19</c:f>
              <c:numCache>
                <c:formatCode>General</c:formatCode>
                <c:ptCount val="12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4200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</c:numCache>
            </c:numRef>
          </c:xVal>
          <c:yVal>
            <c:numRef>
              <c:f>Curvas!$D$8:$D$19</c:f>
              <c:numCache>
                <c:formatCode>0.0</c:formatCode>
                <c:ptCount val="12"/>
                <c:pt idx="0">
                  <c:v>17.8010471204188</c:v>
                </c:pt>
                <c:pt idx="1">
                  <c:v>28.586387434555</c:v>
                </c:pt>
                <c:pt idx="2">
                  <c:v>40.8376963350785</c:v>
                </c:pt>
                <c:pt idx="3">
                  <c:v>53.6649214659686</c:v>
                </c:pt>
                <c:pt idx="4">
                  <c:v>66.282722513089</c:v>
                </c:pt>
                <c:pt idx="5">
                  <c:v>79.1623036649215</c:v>
                </c:pt>
                <c:pt idx="6">
                  <c:v>91.7277486910995</c:v>
                </c:pt>
                <c:pt idx="7">
                  <c:v>96.7539267015707</c:v>
                </c:pt>
                <c:pt idx="8">
                  <c:v>102.722513089005</c:v>
                </c:pt>
                <c:pt idx="9">
                  <c:v>109.947643979058</c:v>
                </c:pt>
                <c:pt idx="10">
                  <c:v>110.575916230366</c:v>
                </c:pt>
                <c:pt idx="11">
                  <c:v>106.806282722513</c:v>
                </c:pt>
              </c:numCache>
            </c:numRef>
          </c:yVal>
          <c:smooth val="0"/>
        </c:ser>
        <c:axId val="10930869"/>
        <c:axId val="24749304"/>
      </c:scatterChart>
      <c:valAx>
        <c:axId val="336390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n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14749"/>
        <c:crosses val="autoZero"/>
        <c:crossBetween val="midCat"/>
      </c:valAx>
      <c:valAx>
        <c:axId val="623147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Par M (N·m)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39011"/>
        <c:crosses val="autoZero"/>
        <c:crossBetween val="midCat"/>
      </c:valAx>
      <c:valAx>
        <c:axId val="10930869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n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49304"/>
        <c:crosses val="autoZero"/>
        <c:crossBetween val="midCat"/>
      </c:valAx>
      <c:valAx>
        <c:axId val="24749304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Potencia P (kW)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30869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Consumo específico de combustible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"ge"</c:f>
              <c:strCache>
                <c:ptCount val="1"/>
                <c:pt idx="0">
                  <c:v>ge</c:v>
                </c:pt>
              </c:strCache>
            </c:strRef>
          </c:tx>
          <c:spPr>
            <a:solidFill>
              <a:srgbClr val="15233f"/>
            </a:solidFill>
            <a:ln w="28080">
              <a:solidFill>
                <a:srgbClr val="15233f"/>
              </a:solidFill>
              <a:round/>
            </a:ln>
          </c:spPr>
          <c:marker>
            <c:symbol val="circle"/>
            <c:size val="6"/>
            <c:spPr>
              <a:solidFill>
                <a:srgbClr val="152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Curvas!$A$8:$A$19</c:f>
              <c:numCache>
                <c:formatCode>General</c:formatCode>
                <c:ptCount val="12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4200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</c:numCache>
            </c:numRef>
          </c:xVal>
          <c:yVal>
            <c:numRef>
              <c:f>Curvas!$G$8:$G$19</c:f>
              <c:numCache>
                <c:formatCode>0</c:formatCode>
                <c:ptCount val="12"/>
                <c:pt idx="0">
                  <c:v>314.588235294118</c:v>
                </c:pt>
                <c:pt idx="1">
                  <c:v>293.846153846154</c:v>
                </c:pt>
                <c:pt idx="2">
                  <c:v>274.25641025641</c:v>
                </c:pt>
                <c:pt idx="3">
                  <c:v>264.60487804878</c:v>
                </c:pt>
                <c:pt idx="4">
                  <c:v>261.003159557662</c:v>
                </c:pt>
                <c:pt idx="5">
                  <c:v>260.224867724868</c:v>
                </c:pt>
                <c:pt idx="6">
                  <c:v>260.553652968037</c:v>
                </c:pt>
                <c:pt idx="7">
                  <c:v>260.454545454545</c:v>
                </c:pt>
                <c:pt idx="8">
                  <c:v>266.738022426096</c:v>
                </c:pt>
                <c:pt idx="9">
                  <c:v>280.133333333333</c:v>
                </c:pt>
                <c:pt idx="10">
                  <c:v>296.628787878788</c:v>
                </c:pt>
                <c:pt idx="11">
                  <c:v>300.544117647059</c:v>
                </c:pt>
              </c:numCache>
            </c:numRef>
          </c:yVal>
          <c:smooth val="0"/>
        </c:ser>
        <c:axId val="99732281"/>
        <c:axId val="33859695"/>
      </c:scatterChart>
      <c:valAx>
        <c:axId val="997322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n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59695"/>
        <c:crosses val="autoZero"/>
        <c:crossBetween val="midCat"/>
      </c:valAx>
      <c:valAx>
        <c:axId val="338596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ge (g/kWh)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3228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Posición del pistón desde el PMS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"Biela real"</c:f>
              <c:strCache>
                <c:ptCount val="1"/>
                <c:pt idx="0">
                  <c:v>Biela real</c:v>
                </c:pt>
              </c:strCache>
            </c:strRef>
          </c:tx>
          <c:spPr>
            <a:solidFill>
              <a:srgbClr val="e4572e"/>
            </a:solidFill>
            <a:ln w="28080">
              <a:solidFill>
                <a:srgbClr val="e457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Biela_manivela!$A$17:$A$89</c:f>
              <c:numCache>
                <c:formatCode>0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Biela_manivela!$C$17:$C$89</c:f>
              <c:numCache>
                <c:formatCode>0.00</c:formatCode>
                <c:ptCount val="73"/>
                <c:pt idx="0">
                  <c:v>0</c:v>
                </c:pt>
                <c:pt idx="1">
                  <c:v>0.200269067224895</c:v>
                </c:pt>
                <c:pt idx="2">
                  <c:v>0.798594118721296</c:v>
                </c:pt>
                <c:pt idx="3">
                  <c:v>1.7875670847764</c:v>
                </c:pt>
                <c:pt idx="4">
                  <c:v>3.15496917777403</c:v>
                </c:pt>
                <c:pt idx="5">
                  <c:v>4.8839630169676</c:v>
                </c:pt>
                <c:pt idx="6">
                  <c:v>6.9533615970552</c:v>
                </c:pt>
                <c:pt idx="7">
                  <c:v>9.33797346857534</c:v>
                </c:pt>
                <c:pt idx="8">
                  <c:v>12.0090224395104</c:v>
                </c:pt>
                <c:pt idx="9">
                  <c:v>14.9346384335234</c:v>
                </c:pt>
                <c:pt idx="10">
                  <c:v>18.0804137898792</c:v>
                </c:pt>
                <c:pt idx="11">
                  <c:v>21.4100162797314</c:v>
                </c:pt>
                <c:pt idx="12">
                  <c:v>24.8858465681612</c:v>
                </c:pt>
                <c:pt idx="13">
                  <c:v>28.4697240294801</c:v>
                </c:pt>
                <c:pt idx="14">
                  <c:v>32.1235811228167</c:v>
                </c:pt>
                <c:pt idx="15">
                  <c:v>35.8101434695595</c:v>
                </c:pt>
                <c:pt idx="16">
                  <c:v>39.4935709109829</c:v>
                </c:pt>
                <c:pt idx="17">
                  <c:v>43.1400346855211</c:v>
                </c:pt>
                <c:pt idx="18">
                  <c:v>46.7182078087123</c:v>
                </c:pt>
                <c:pt idx="19">
                  <c:v>50.1996498480814</c:v>
                </c:pt>
                <c:pt idx="20">
                  <c:v>53.5590733020042</c:v>
                </c:pt>
                <c:pt idx="21">
                  <c:v>56.7744861228637</c:v>
                </c:pt>
                <c:pt idx="22">
                  <c:v>59.8272127321959</c:v>
                </c:pt>
                <c:pt idx="23">
                  <c:v>62.7018032304768</c:v>
                </c:pt>
                <c:pt idx="24">
                  <c:v>65.3858465681612</c:v>
                </c:pt>
                <c:pt idx="25">
                  <c:v>67.8697076241661</c:v>
                </c:pt>
                <c:pt idx="26">
                  <c:v>70.1462101744889</c:v>
                </c:pt>
                <c:pt idx="27">
                  <c:v>72.2102877096337</c:v>
                </c:pt>
                <c:pt idx="28">
                  <c:v>74.0586223321476</c:v>
                </c:pt>
                <c:pt idx="29">
                  <c:v>75.6892890559837</c:v>
                </c:pt>
                <c:pt idx="30">
                  <c:v>77.1014193035947</c:v>
                </c:pt>
                <c:pt idx="31">
                  <c:v>78.2948937669362</c:v>
                </c:pt>
                <c:pt idx="32">
                  <c:v>79.2700714614326</c:v>
                </c:pt>
                <c:pt idx="33">
                  <c:v>80.0275590141909</c:v>
                </c:pt>
                <c:pt idx="34">
                  <c:v>80.5680221127102</c:v>
                </c:pt>
                <c:pt idx="35">
                  <c:v>80.8920396126563</c:v>
                </c:pt>
                <c:pt idx="36">
                  <c:v>81</c:v>
                </c:pt>
                <c:pt idx="37">
                  <c:v>80.8920396126563</c:v>
                </c:pt>
                <c:pt idx="38">
                  <c:v>80.5680221127102</c:v>
                </c:pt>
                <c:pt idx="39">
                  <c:v>80.0275590141909</c:v>
                </c:pt>
                <c:pt idx="40">
                  <c:v>79.2700714614326</c:v>
                </c:pt>
                <c:pt idx="41">
                  <c:v>78.2948937669362</c:v>
                </c:pt>
                <c:pt idx="42">
                  <c:v>77.1014193035947</c:v>
                </c:pt>
                <c:pt idx="43">
                  <c:v>75.6892890559837</c:v>
                </c:pt>
                <c:pt idx="44">
                  <c:v>74.0586223321476</c:v>
                </c:pt>
                <c:pt idx="45">
                  <c:v>72.2102877096338</c:v>
                </c:pt>
                <c:pt idx="46">
                  <c:v>70.1462101744889</c:v>
                </c:pt>
                <c:pt idx="47">
                  <c:v>67.8697076241661</c:v>
                </c:pt>
                <c:pt idx="48">
                  <c:v>65.3858465681612</c:v>
                </c:pt>
                <c:pt idx="49">
                  <c:v>62.7018032304768</c:v>
                </c:pt>
                <c:pt idx="50">
                  <c:v>59.8272127321959</c:v>
                </c:pt>
                <c:pt idx="51">
                  <c:v>56.7744861228637</c:v>
                </c:pt>
                <c:pt idx="52">
                  <c:v>53.5590733020042</c:v>
                </c:pt>
                <c:pt idx="53">
                  <c:v>50.1996498480814</c:v>
                </c:pt>
                <c:pt idx="54">
                  <c:v>46.7182078087123</c:v>
                </c:pt>
                <c:pt idx="55">
                  <c:v>43.1400346855211</c:v>
                </c:pt>
                <c:pt idx="56">
                  <c:v>39.4935709109829</c:v>
                </c:pt>
                <c:pt idx="57">
                  <c:v>35.8101434695595</c:v>
                </c:pt>
                <c:pt idx="58">
                  <c:v>32.1235811228167</c:v>
                </c:pt>
                <c:pt idx="59">
                  <c:v>28.4697240294802</c:v>
                </c:pt>
                <c:pt idx="60">
                  <c:v>24.8858465681612</c:v>
                </c:pt>
                <c:pt idx="61">
                  <c:v>21.4100162797314</c:v>
                </c:pt>
                <c:pt idx="62">
                  <c:v>18.0804137898792</c:v>
                </c:pt>
                <c:pt idx="63">
                  <c:v>14.9346384335234</c:v>
                </c:pt>
                <c:pt idx="64">
                  <c:v>12.0090224395104</c:v>
                </c:pt>
                <c:pt idx="65">
                  <c:v>9.33797346857535</c:v>
                </c:pt>
                <c:pt idx="66">
                  <c:v>6.95336159705523</c:v>
                </c:pt>
                <c:pt idx="67">
                  <c:v>4.88396301696759</c:v>
                </c:pt>
                <c:pt idx="68">
                  <c:v>3.15496917777404</c:v>
                </c:pt>
                <c:pt idx="69">
                  <c:v>1.7875670847764</c:v>
                </c:pt>
                <c:pt idx="70">
                  <c:v>0.798594118721296</c:v>
                </c:pt>
                <c:pt idx="71">
                  <c:v>0.200269067224895</c:v>
                </c:pt>
                <c:pt idx="7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"Biela infinita (armónico)"</c:f>
              <c:strCache>
                <c:ptCount val="1"/>
                <c:pt idx="0">
                  <c:v>Biela infinita (armónico)</c:v>
                </c:pt>
              </c:strCache>
            </c:strRef>
          </c:tx>
          <c:spPr>
            <a:solidFill>
              <a:srgbClr val="0e7c7b"/>
            </a:solidFill>
            <a:ln w="28080">
              <a:solidFill>
                <a:srgbClr val="0e7c7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Biela_manivela!$A$17:$A$89</c:f>
              <c:numCache>
                <c:formatCode>0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Biela_manivela!$F$17:$F$89</c:f>
              <c:numCache>
                <c:formatCode>0.00</c:formatCode>
                <c:ptCount val="73"/>
                <c:pt idx="0">
                  <c:v>0</c:v>
                </c:pt>
                <c:pt idx="1">
                  <c:v>0.154114727284305</c:v>
                </c:pt>
                <c:pt idx="2">
                  <c:v>0.615286003005575</c:v>
                </c:pt>
                <c:pt idx="3">
                  <c:v>1.38000403529273</c:v>
                </c:pt>
                <c:pt idx="4">
                  <c:v>2.44244885817071</c:v>
                </c:pt>
                <c:pt idx="5">
                  <c:v>3.79453462501568</c:v>
                </c:pt>
                <c:pt idx="6">
                  <c:v>5.42597114673023</c:v>
                </c:pt>
                <c:pt idx="7">
                  <c:v>7.32434220629583</c:v>
                </c:pt>
                <c:pt idx="8">
                  <c:v>9.47520005368139</c:v>
                </c:pt>
                <c:pt idx="9">
                  <c:v>11.8621753619448</c:v>
                </c:pt>
                <c:pt idx="10">
                  <c:v>14.4671018076952</c:v>
                </c:pt>
                <c:pt idx="11">
                  <c:v>17.2701543277826</c:v>
                </c:pt>
                <c:pt idx="12">
                  <c:v>20.25</c:v>
                </c:pt>
                <c:pt idx="13">
                  <c:v>23.3839603995017</c:v>
                </c:pt>
                <c:pt idx="14">
                  <c:v>26.6481841953104</c:v>
                </c:pt>
                <c:pt idx="15">
                  <c:v>30.0178286733479</c:v>
                </c:pt>
                <c:pt idx="16">
                  <c:v>33.4672488044893</c:v>
                </c:pt>
                <c:pt idx="17">
                  <c:v>36.9701924187198</c:v>
                </c:pt>
                <c:pt idx="18">
                  <c:v>40.5</c:v>
                </c:pt>
                <c:pt idx="19">
                  <c:v>44.0298075812802</c:v>
                </c:pt>
                <c:pt idx="20">
                  <c:v>47.5327511955107</c:v>
                </c:pt>
                <c:pt idx="21">
                  <c:v>50.9821713266521</c:v>
                </c:pt>
                <c:pt idx="22">
                  <c:v>54.3518158046896</c:v>
                </c:pt>
                <c:pt idx="23">
                  <c:v>57.6160396004983</c:v>
                </c:pt>
                <c:pt idx="24">
                  <c:v>60.75</c:v>
                </c:pt>
                <c:pt idx="25">
                  <c:v>63.7298456722174</c:v>
                </c:pt>
                <c:pt idx="26">
                  <c:v>66.5328981923048</c:v>
                </c:pt>
                <c:pt idx="27">
                  <c:v>69.1378246380552</c:v>
                </c:pt>
                <c:pt idx="28">
                  <c:v>71.5247999463186</c:v>
                </c:pt>
                <c:pt idx="29">
                  <c:v>73.6756577937042</c:v>
                </c:pt>
                <c:pt idx="30">
                  <c:v>75.5740288532698</c:v>
                </c:pt>
                <c:pt idx="31">
                  <c:v>77.2054653749843</c:v>
                </c:pt>
                <c:pt idx="32">
                  <c:v>78.5575511418293</c:v>
                </c:pt>
                <c:pt idx="33">
                  <c:v>79.6199959647073</c:v>
                </c:pt>
                <c:pt idx="34">
                  <c:v>80.3847139969944</c:v>
                </c:pt>
                <c:pt idx="35">
                  <c:v>80.8458852727157</c:v>
                </c:pt>
                <c:pt idx="36">
                  <c:v>81</c:v>
                </c:pt>
                <c:pt idx="37">
                  <c:v>80.8458852727157</c:v>
                </c:pt>
                <c:pt idx="38">
                  <c:v>80.3847139969944</c:v>
                </c:pt>
                <c:pt idx="39">
                  <c:v>79.6199959647073</c:v>
                </c:pt>
                <c:pt idx="40">
                  <c:v>78.5575511418293</c:v>
                </c:pt>
                <c:pt idx="41">
                  <c:v>77.2054653749843</c:v>
                </c:pt>
                <c:pt idx="42">
                  <c:v>75.5740288532698</c:v>
                </c:pt>
                <c:pt idx="43">
                  <c:v>73.6756577937042</c:v>
                </c:pt>
                <c:pt idx="44">
                  <c:v>71.5247999463186</c:v>
                </c:pt>
                <c:pt idx="45">
                  <c:v>69.1378246380552</c:v>
                </c:pt>
                <c:pt idx="46">
                  <c:v>66.5328981923048</c:v>
                </c:pt>
                <c:pt idx="47">
                  <c:v>63.7298456722174</c:v>
                </c:pt>
                <c:pt idx="48">
                  <c:v>60.75</c:v>
                </c:pt>
                <c:pt idx="49">
                  <c:v>57.6160396004983</c:v>
                </c:pt>
                <c:pt idx="50">
                  <c:v>54.3518158046896</c:v>
                </c:pt>
                <c:pt idx="51">
                  <c:v>50.9821713266521</c:v>
                </c:pt>
                <c:pt idx="52">
                  <c:v>47.5327511955107</c:v>
                </c:pt>
                <c:pt idx="53">
                  <c:v>44.0298075812802</c:v>
                </c:pt>
                <c:pt idx="54">
                  <c:v>40.5</c:v>
                </c:pt>
                <c:pt idx="55">
                  <c:v>36.9701924187199</c:v>
                </c:pt>
                <c:pt idx="56">
                  <c:v>33.4672488044893</c:v>
                </c:pt>
                <c:pt idx="57">
                  <c:v>30.0178286733479</c:v>
                </c:pt>
                <c:pt idx="58">
                  <c:v>26.6481841953104</c:v>
                </c:pt>
                <c:pt idx="59">
                  <c:v>23.3839603995017</c:v>
                </c:pt>
                <c:pt idx="60">
                  <c:v>20.25</c:v>
                </c:pt>
                <c:pt idx="61">
                  <c:v>17.2701543277826</c:v>
                </c:pt>
                <c:pt idx="62">
                  <c:v>14.4671018076952</c:v>
                </c:pt>
                <c:pt idx="63">
                  <c:v>11.8621753619448</c:v>
                </c:pt>
                <c:pt idx="64">
                  <c:v>9.4752000536814</c:v>
                </c:pt>
                <c:pt idx="65">
                  <c:v>7.32434220629584</c:v>
                </c:pt>
                <c:pt idx="66">
                  <c:v>5.42597114673025</c:v>
                </c:pt>
                <c:pt idx="67">
                  <c:v>3.79453462501567</c:v>
                </c:pt>
                <c:pt idx="68">
                  <c:v>2.44244885817072</c:v>
                </c:pt>
                <c:pt idx="69">
                  <c:v>1.38000403529273</c:v>
                </c:pt>
                <c:pt idx="70">
                  <c:v>0.615286003005575</c:v>
                </c:pt>
                <c:pt idx="71">
                  <c:v>0.154114727284305</c:v>
                </c:pt>
                <c:pt idx="72">
                  <c:v>0</c:v>
                </c:pt>
              </c:numCache>
            </c:numRef>
          </c:yVal>
          <c:smooth val="0"/>
        </c:ser>
        <c:axId val="70184736"/>
        <c:axId val="25899383"/>
      </c:scatterChart>
      <c:valAx>
        <c:axId val="70184736"/>
        <c:scaling>
          <c:orientation val="minMax"/>
          <c:max val="36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Ángulo del cigüeñal θ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99383"/>
        <c:crosses val="autoZero"/>
        <c:crossBetween val="midCat"/>
        <c:majorUnit val="45"/>
      </c:valAx>
      <c:valAx>
        <c:axId val="25899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8473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Velocidad y aceleración del pistón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"Velocidad (m/s)"</c:f>
              <c:strCache>
                <c:ptCount val="1"/>
                <c:pt idx="0">
                  <c:v>Velocidad (m/s)</c:v>
                </c:pt>
              </c:strCache>
            </c:strRef>
          </c:tx>
          <c:spPr>
            <a:solidFill>
              <a:srgbClr val="15233f"/>
            </a:solidFill>
            <a:ln w="28080">
              <a:solidFill>
                <a:srgbClr val="152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Biela_manivela!$A$17:$A$89</c:f>
              <c:numCache>
                <c:formatCode>0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Biela_manivela!$D$17:$D$89</c:f>
              <c:numCache>
                <c:formatCode>0.00</c:formatCode>
                <c:ptCount val="73"/>
                <c:pt idx="0">
                  <c:v>0</c:v>
                </c:pt>
                <c:pt idx="1">
                  <c:v>2.88066469789729</c:v>
                </c:pt>
                <c:pt idx="2">
                  <c:v>5.72431078119499</c:v>
                </c:pt>
                <c:pt idx="3">
                  <c:v>8.49466002375176</c:v>
                </c:pt>
                <c:pt idx="4">
                  <c:v>11.1568954055562</c:v>
                </c:pt>
                <c:pt idx="5">
                  <c:v>13.6783433612089</c:v>
                </c:pt>
                <c:pt idx="6">
                  <c:v>16.0290995883555</c:v>
                </c:pt>
                <c:pt idx="7">
                  <c:v>18.1825821939962</c:v>
                </c:pt>
                <c:pt idx="8">
                  <c:v>20.1159980770238</c:v>
                </c:pt>
                <c:pt idx="9">
                  <c:v>21.810710973653</c:v>
                </c:pt>
                <c:pt idx="10">
                  <c:v>23.2525024525941</c:v>
                </c:pt>
                <c:pt idx="11">
                  <c:v>24.4317202529657</c:v>
                </c:pt>
                <c:pt idx="12">
                  <c:v>25.3433116167626</c:v>
                </c:pt>
                <c:pt idx="13">
                  <c:v>25.9867425814425</c:v>
                </c:pt>
                <c:pt idx="14">
                  <c:v>26.3658074675356</c:v>
                </c:pt>
                <c:pt idx="15">
                  <c:v>26.4883359232931</c:v>
                </c:pt>
                <c:pt idx="16">
                  <c:v>26.3658077798243</c:v>
                </c:pt>
                <c:pt idx="17">
                  <c:v>26.0128885397783</c:v>
                </c:pt>
                <c:pt idx="18">
                  <c:v>25.4469004940773</c:v>
                </c:pt>
                <c:pt idx="19">
                  <c:v>24.6872461703578</c:v>
                </c:pt>
                <c:pt idx="20">
                  <c:v>23.7548020135708</c:v>
                </c:pt>
                <c:pt idx="21">
                  <c:v>22.6713008491815</c:v>
                </c:pt>
                <c:pt idx="22">
                  <c:v>21.4587217647799</c:v>
                </c:pt>
                <c:pt idx="23">
                  <c:v>20.1387055660156</c:v>
                </c:pt>
                <c:pt idx="24">
                  <c:v>18.7320129341289</c:v>
                </c:pt>
                <c:pt idx="25">
                  <c:v>17.2580408681183</c:v>
                </c:pt>
                <c:pt idx="26">
                  <c:v>15.7344109835849</c:v>
                </c:pt>
                <c:pt idx="27">
                  <c:v>14.1766408254298</c:v>
                </c:pt>
                <c:pt idx="28">
                  <c:v>12.5979066080146</c:v>
                </c:pt>
                <c:pt idx="29">
                  <c:v>11.0089028091489</c:v>
                </c:pt>
                <c:pt idx="30">
                  <c:v>9.4178009057218</c:v>
                </c:pt>
                <c:pt idx="31">
                  <c:v>7.83030634578208</c:v>
                </c:pt>
                <c:pt idx="32">
                  <c:v>6.24980970280048</c:v>
                </c:pt>
                <c:pt idx="33">
                  <c:v>4.67762494964016</c:v>
                </c:pt>
                <c:pt idx="34">
                  <c:v>3.11330501494149</c:v>
                </c:pt>
                <c:pt idx="35">
                  <c:v>1.55502232847682</c:v>
                </c:pt>
                <c:pt idx="36">
                  <c:v>2.18144256668051E-015</c:v>
                </c:pt>
                <c:pt idx="37">
                  <c:v>-1.55502232847682</c:v>
                </c:pt>
                <c:pt idx="38">
                  <c:v>-3.11330501494149</c:v>
                </c:pt>
                <c:pt idx="39">
                  <c:v>-4.67762494964015</c:v>
                </c:pt>
                <c:pt idx="40">
                  <c:v>-6.24980970280048</c:v>
                </c:pt>
                <c:pt idx="41">
                  <c:v>-7.83030634578208</c:v>
                </c:pt>
                <c:pt idx="42">
                  <c:v>-9.4178009057218</c:v>
                </c:pt>
                <c:pt idx="43">
                  <c:v>-11.0089028091489</c:v>
                </c:pt>
                <c:pt idx="44">
                  <c:v>-12.5979066080145</c:v>
                </c:pt>
                <c:pt idx="45">
                  <c:v>-14.1766408254298</c:v>
                </c:pt>
                <c:pt idx="46">
                  <c:v>-15.7344109835849</c:v>
                </c:pt>
                <c:pt idx="47">
                  <c:v>-17.2580408681183</c:v>
                </c:pt>
                <c:pt idx="48">
                  <c:v>-18.7320129341289</c:v>
                </c:pt>
                <c:pt idx="49">
                  <c:v>-20.1387055660156</c:v>
                </c:pt>
                <c:pt idx="50">
                  <c:v>-21.4587217647799</c:v>
                </c:pt>
                <c:pt idx="51">
                  <c:v>-22.6713008491815</c:v>
                </c:pt>
                <c:pt idx="52">
                  <c:v>-23.7548020135708</c:v>
                </c:pt>
                <c:pt idx="53">
                  <c:v>-24.6872461703578</c:v>
                </c:pt>
                <c:pt idx="54">
                  <c:v>-25.4469004940773</c:v>
                </c:pt>
                <c:pt idx="55">
                  <c:v>-26.0128885397783</c:v>
                </c:pt>
                <c:pt idx="56">
                  <c:v>-26.3658077798243</c:v>
                </c:pt>
                <c:pt idx="57">
                  <c:v>-26.4883359232931</c:v>
                </c:pt>
                <c:pt idx="58">
                  <c:v>-26.3658074675356</c:v>
                </c:pt>
                <c:pt idx="59">
                  <c:v>-25.9867425814425</c:v>
                </c:pt>
                <c:pt idx="60">
                  <c:v>-25.3433116167626</c:v>
                </c:pt>
                <c:pt idx="61">
                  <c:v>-24.4317202529657</c:v>
                </c:pt>
                <c:pt idx="62">
                  <c:v>-23.2525024525941</c:v>
                </c:pt>
                <c:pt idx="63">
                  <c:v>-21.810710973653</c:v>
                </c:pt>
                <c:pt idx="64">
                  <c:v>-20.1159980770238</c:v>
                </c:pt>
                <c:pt idx="65">
                  <c:v>-18.1825821939962</c:v>
                </c:pt>
                <c:pt idx="66">
                  <c:v>-16.0290995883555</c:v>
                </c:pt>
                <c:pt idx="67">
                  <c:v>-13.6783433612089</c:v>
                </c:pt>
                <c:pt idx="68">
                  <c:v>-11.1568954055563</c:v>
                </c:pt>
                <c:pt idx="69">
                  <c:v>-8.49466002375176</c:v>
                </c:pt>
                <c:pt idx="70">
                  <c:v>-5.72431078119499</c:v>
                </c:pt>
                <c:pt idx="71">
                  <c:v>-2.8806646978973</c:v>
                </c:pt>
                <c:pt idx="72">
                  <c:v>-8.10250096195618E-015</c:v>
                </c:pt>
              </c:numCache>
            </c:numRef>
          </c:yVal>
          <c:smooth val="0"/>
        </c:ser>
        <c:axId val="281526"/>
        <c:axId val="72118408"/>
      </c:scatterChart>
      <c:scatterChart>
        <c:scatterStyle val="line"/>
        <c:varyColors val="0"/>
        <c:ser>
          <c:idx val="1"/>
          <c:order val="1"/>
          <c:tx>
            <c:strRef>
              <c:f>"Aceleración (m/s²)"</c:f>
              <c:strCache>
                <c:ptCount val="1"/>
                <c:pt idx="0">
                  <c:v>Aceleración (m/s²)</c:v>
                </c:pt>
              </c:strCache>
            </c:strRef>
          </c:tx>
          <c:spPr>
            <a:solidFill>
              <a:srgbClr val="e4572e"/>
            </a:solidFill>
            <a:ln w="28080">
              <a:solidFill>
                <a:srgbClr val="e4572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Biela_manivela!$A$17:$A$89</c:f>
              <c:numCache>
                <c:formatCode>0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Biela_manivela!$E$17:$E$89</c:f>
              <c:numCache>
                <c:formatCode>0</c:formatCode>
                <c:ptCount val="73"/>
                <c:pt idx="0">
                  <c:v>20785.3868686942</c:v>
                </c:pt>
                <c:pt idx="1">
                  <c:v>20651.6732597488</c:v>
                </c:pt>
                <c:pt idx="2">
                  <c:v>20253.209642966</c:v>
                </c:pt>
                <c:pt idx="3">
                  <c:v>19597.9568481649</c:v>
                </c:pt>
                <c:pt idx="4">
                  <c:v>18698.9489948805</c:v>
                </c:pt>
                <c:pt idx="5">
                  <c:v>17573.9497832217</c:v>
                </c:pt>
                <c:pt idx="6">
                  <c:v>16244.9854508314</c:v>
                </c:pt>
                <c:pt idx="7">
                  <c:v>14737.7680335396</c:v>
                </c:pt>
                <c:pt idx="8">
                  <c:v>13081.0257495359</c:v>
                </c:pt>
                <c:pt idx="9">
                  <c:v>11305.760003415</c:v>
                </c:pt>
                <c:pt idx="10">
                  <c:v>9444.45059706358</c:v>
                </c:pt>
                <c:pt idx="11">
                  <c:v>7530.23217657721</c:v>
                </c:pt>
                <c:pt idx="12">
                  <c:v>5596.06569541767</c:v>
                </c:pt>
                <c:pt idx="13">
                  <c:v>3673.92871194932</c:v>
                </c:pt>
                <c:pt idx="14">
                  <c:v>1794.0476640445</c:v>
                </c:pt>
                <c:pt idx="15">
                  <c:v>-15.8061040700716</c:v>
                </c:pt>
                <c:pt idx="16">
                  <c:v>-1730.93680488983</c:v>
                </c:pt>
                <c:pt idx="17">
                  <c:v>-3330.24400804307</c:v>
                </c:pt>
                <c:pt idx="18">
                  <c:v>-4796.62773892943</c:v>
                </c:pt>
                <c:pt idx="19">
                  <c:v>-6117.26836317917</c:v>
                </c:pt>
                <c:pt idx="20">
                  <c:v>-7283.77457696813</c:v>
                </c:pt>
                <c:pt idx="21">
                  <c:v>-8292.19684474993</c:v>
                </c:pt>
                <c:pt idx="22">
                  <c:v>-9142.90771427898</c:v>
                </c:pt>
                <c:pt idx="23">
                  <c:v>-9840.35446967452</c:v>
                </c:pt>
                <c:pt idx="24">
                  <c:v>-10392.6934343471</c:v>
                </c:pt>
                <c:pt idx="25">
                  <c:v>-10811.3187900742</c:v>
                </c:pt>
                <c:pt idx="26">
                  <c:v>-11110.3019286871</c:v>
                </c:pt>
                <c:pt idx="27">
                  <c:v>-11305.760003415</c:v>
                </c:pt>
                <c:pt idx="28">
                  <c:v>-11415.1744179124</c:v>
                </c:pt>
                <c:pt idx="29">
                  <c:v>-11456.6814200426</c:v>
                </c:pt>
                <c:pt idx="30">
                  <c:v>-11448.3577119019</c:v>
                </c:pt>
                <c:pt idx="31">
                  <c:v>-11407.5240254965</c:v>
                </c:pt>
                <c:pt idx="32">
                  <c:v>-11350.088944646</c:v>
                </c:pt>
                <c:pt idx="33">
                  <c:v>-11289.9538993449</c:v>
                </c:pt>
                <c:pt idx="34">
                  <c:v>-11238.4982611081</c:v>
                </c:pt>
                <c:pt idx="35">
                  <c:v>-11204.1608885265</c:v>
                </c:pt>
                <c:pt idx="36">
                  <c:v>-11192.1313908353</c:v>
                </c:pt>
                <c:pt idx="37">
                  <c:v>-11204.1608885265</c:v>
                </c:pt>
                <c:pt idx="38">
                  <c:v>-11238.4982611081</c:v>
                </c:pt>
                <c:pt idx="39">
                  <c:v>-11289.9538993449</c:v>
                </c:pt>
                <c:pt idx="40">
                  <c:v>-11350.088944646</c:v>
                </c:pt>
                <c:pt idx="41">
                  <c:v>-11407.5240254965</c:v>
                </c:pt>
                <c:pt idx="42">
                  <c:v>-11448.3577119019</c:v>
                </c:pt>
                <c:pt idx="43">
                  <c:v>-11456.6814200426</c:v>
                </c:pt>
                <c:pt idx="44">
                  <c:v>-11415.1744179124</c:v>
                </c:pt>
                <c:pt idx="45">
                  <c:v>-11305.760003415</c:v>
                </c:pt>
                <c:pt idx="46">
                  <c:v>-11110.3019286871</c:v>
                </c:pt>
                <c:pt idx="47">
                  <c:v>-10811.3187900742</c:v>
                </c:pt>
                <c:pt idx="48">
                  <c:v>-10392.6934343471</c:v>
                </c:pt>
                <c:pt idx="49">
                  <c:v>-9840.35446967452</c:v>
                </c:pt>
                <c:pt idx="50">
                  <c:v>-9142.90771427898</c:v>
                </c:pt>
                <c:pt idx="51">
                  <c:v>-8292.19684474992</c:v>
                </c:pt>
                <c:pt idx="52">
                  <c:v>-7283.77457696813</c:v>
                </c:pt>
                <c:pt idx="53">
                  <c:v>-6117.26836317917</c:v>
                </c:pt>
                <c:pt idx="54">
                  <c:v>-4796.62773892943</c:v>
                </c:pt>
                <c:pt idx="55">
                  <c:v>-3330.24400804307</c:v>
                </c:pt>
                <c:pt idx="56">
                  <c:v>-1730.93680488984</c:v>
                </c:pt>
                <c:pt idx="57">
                  <c:v>-15.8061040700805</c:v>
                </c:pt>
                <c:pt idx="58">
                  <c:v>1794.04766404451</c:v>
                </c:pt>
                <c:pt idx="59">
                  <c:v>3673.92871194931</c:v>
                </c:pt>
                <c:pt idx="60">
                  <c:v>5596.06569541767</c:v>
                </c:pt>
                <c:pt idx="61">
                  <c:v>7530.2321765772</c:v>
                </c:pt>
                <c:pt idx="62">
                  <c:v>9444.45059706358</c:v>
                </c:pt>
                <c:pt idx="63">
                  <c:v>11305.760003415</c:v>
                </c:pt>
                <c:pt idx="64">
                  <c:v>13081.0257495359</c:v>
                </c:pt>
                <c:pt idx="65">
                  <c:v>14737.7680335396</c:v>
                </c:pt>
                <c:pt idx="66">
                  <c:v>16244.9854508314</c:v>
                </c:pt>
                <c:pt idx="67">
                  <c:v>17573.9497832217</c:v>
                </c:pt>
                <c:pt idx="68">
                  <c:v>18698.9489948805</c:v>
                </c:pt>
                <c:pt idx="69">
                  <c:v>19597.9568481649</c:v>
                </c:pt>
                <c:pt idx="70">
                  <c:v>20253.209642966</c:v>
                </c:pt>
                <c:pt idx="71">
                  <c:v>20651.6732597488</c:v>
                </c:pt>
                <c:pt idx="72">
                  <c:v>20785.3868686942</c:v>
                </c:pt>
              </c:numCache>
            </c:numRef>
          </c:yVal>
          <c:smooth val="0"/>
        </c:ser>
        <c:axId val="30799200"/>
        <c:axId val="51136169"/>
      </c:scatterChart>
      <c:valAx>
        <c:axId val="281526"/>
        <c:scaling>
          <c:orientation val="minMax"/>
          <c:max val="36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Ángulo del cigüeñal θ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18408"/>
        <c:crosses val="autoZero"/>
        <c:crossBetween val="midCat"/>
        <c:majorUnit val="45"/>
      </c:valAx>
      <c:valAx>
        <c:axId val="72118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Velocidad v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526"/>
        <c:crosses val="autoZero"/>
        <c:crossBetween val="midCat"/>
      </c:valAx>
      <c:valAx>
        <c:axId val="30799200"/>
        <c:scaling>
          <c:orientation val="minMax"/>
          <c:max val="360"/>
          <c:min val="0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Ángulo del cigüeñal θ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36169"/>
        <c:crosses val="autoZero"/>
        <c:crossBetween val="midCat"/>
        <c:majorUnit val="45"/>
      </c:valAx>
      <c:valAx>
        <c:axId val="5113616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Aceleración a (m/s²)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99200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130680</xdr:rowOff>
    </xdr:from>
    <xdr:to>
      <xdr:col>16</xdr:col>
      <xdr:colOff>4680</xdr:colOff>
      <xdr:row>25</xdr:row>
      <xdr:rowOff>110880</xdr:rowOff>
    </xdr:to>
    <xdr:graphicFrame>
      <xdr:nvGraphicFramePr>
        <xdr:cNvPr id="0" name="Chart 1"/>
        <xdr:cNvGraphicFramePr/>
      </xdr:nvGraphicFramePr>
      <xdr:xfrm>
        <a:off x="6955200" y="133344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27</xdr:row>
      <xdr:rowOff>131040</xdr:rowOff>
    </xdr:from>
    <xdr:to>
      <xdr:col>16</xdr:col>
      <xdr:colOff>4680</xdr:colOff>
      <xdr:row>46</xdr:row>
      <xdr:rowOff>111240</xdr:rowOff>
    </xdr:to>
    <xdr:graphicFrame>
      <xdr:nvGraphicFramePr>
        <xdr:cNvPr id="1" name="Chart 2"/>
        <xdr:cNvGraphicFramePr/>
      </xdr:nvGraphicFramePr>
      <xdr:xfrm>
        <a:off x="6955200" y="533412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130680</xdr:rowOff>
    </xdr:from>
    <xdr:to>
      <xdr:col>16</xdr:col>
      <xdr:colOff>4680</xdr:colOff>
      <xdr:row>25</xdr:row>
      <xdr:rowOff>110880</xdr:rowOff>
    </xdr:to>
    <xdr:graphicFrame>
      <xdr:nvGraphicFramePr>
        <xdr:cNvPr id="2" name="Chart 1"/>
        <xdr:cNvGraphicFramePr/>
      </xdr:nvGraphicFramePr>
      <xdr:xfrm>
        <a:off x="7237080" y="133344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27</xdr:row>
      <xdr:rowOff>131040</xdr:rowOff>
    </xdr:from>
    <xdr:to>
      <xdr:col>16</xdr:col>
      <xdr:colOff>4680</xdr:colOff>
      <xdr:row>46</xdr:row>
      <xdr:rowOff>111240</xdr:rowOff>
    </xdr:to>
    <xdr:graphicFrame>
      <xdr:nvGraphicFramePr>
        <xdr:cNvPr id="3" name="Chart 2"/>
        <xdr:cNvGraphicFramePr/>
      </xdr:nvGraphicFramePr>
      <xdr:xfrm>
        <a:off x="7237080" y="533412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15</xdr:col>
      <xdr:colOff>4680</xdr:colOff>
      <xdr:row>21</xdr:row>
      <xdr:rowOff>111240</xdr:rowOff>
    </xdr:to>
    <xdr:graphicFrame>
      <xdr:nvGraphicFramePr>
        <xdr:cNvPr id="4" name="Chart 1"/>
        <xdr:cNvGraphicFramePr/>
      </xdr:nvGraphicFramePr>
      <xdr:xfrm>
        <a:off x="5545440" y="57168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15</xdr:col>
      <xdr:colOff>4680</xdr:colOff>
      <xdr:row>21</xdr:row>
      <xdr:rowOff>111240</xdr:rowOff>
    </xdr:to>
    <xdr:graphicFrame>
      <xdr:nvGraphicFramePr>
        <xdr:cNvPr id="5" name="Chart 1"/>
        <xdr:cNvGraphicFramePr/>
      </xdr:nvGraphicFramePr>
      <xdr:xfrm>
        <a:off x="7518960" y="57168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131040</xdr:rowOff>
    </xdr:from>
    <xdr:to>
      <xdr:col>19</xdr:col>
      <xdr:colOff>4320</xdr:colOff>
      <xdr:row>20</xdr:row>
      <xdr:rowOff>151200</xdr:rowOff>
    </xdr:to>
    <xdr:graphicFrame>
      <xdr:nvGraphicFramePr>
        <xdr:cNvPr id="6" name="Chart 1"/>
        <xdr:cNvGraphicFramePr/>
      </xdr:nvGraphicFramePr>
      <xdr:xfrm>
        <a:off x="9140040" y="57168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23</xdr:row>
      <xdr:rowOff>170640</xdr:rowOff>
    </xdr:from>
    <xdr:to>
      <xdr:col>19</xdr:col>
      <xdr:colOff>4320</xdr:colOff>
      <xdr:row>42</xdr:row>
      <xdr:rowOff>150840</xdr:rowOff>
    </xdr:to>
    <xdr:graphicFrame>
      <xdr:nvGraphicFramePr>
        <xdr:cNvPr id="7" name="Chart 2"/>
        <xdr:cNvGraphicFramePr/>
      </xdr:nvGraphicFramePr>
      <xdr:xfrm>
        <a:off x="9140040" y="476244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130680</xdr:rowOff>
    </xdr:from>
    <xdr:to>
      <xdr:col>18</xdr:col>
      <xdr:colOff>4680</xdr:colOff>
      <xdr:row>19</xdr:row>
      <xdr:rowOff>150840</xdr:rowOff>
    </xdr:to>
    <xdr:graphicFrame>
      <xdr:nvGraphicFramePr>
        <xdr:cNvPr id="8" name="Chart 1"/>
        <xdr:cNvGraphicFramePr/>
      </xdr:nvGraphicFramePr>
      <xdr:xfrm>
        <a:off x="8435520" y="38088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21</xdr:row>
      <xdr:rowOff>171000</xdr:rowOff>
    </xdr:from>
    <xdr:to>
      <xdr:col>18</xdr:col>
      <xdr:colOff>4680</xdr:colOff>
      <xdr:row>40</xdr:row>
      <xdr:rowOff>150840</xdr:rowOff>
    </xdr:to>
    <xdr:graphicFrame>
      <xdr:nvGraphicFramePr>
        <xdr:cNvPr id="9" name="Chart 2"/>
        <xdr:cNvGraphicFramePr/>
      </xdr:nvGraphicFramePr>
      <xdr:xfrm>
        <a:off x="8435520" y="438156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233F"/>
    <pageSetUpPr fitToPage="true"/>
  </sheetPr>
  <dimension ref="A1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5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5" t="s">
        <v>13</v>
      </c>
    </row>
    <row r="8" customFormat="false" ht="15" hidden="false" customHeight="false" outlineLevel="0" collapsed="false">
      <c r="A8" s="4" t="s">
        <v>14</v>
      </c>
      <c r="B8" s="5" t="s">
        <v>15</v>
      </c>
      <c r="C8" s="5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  <c r="C9" s="5" t="s">
        <v>19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5" t="s">
        <v>22</v>
      </c>
    </row>
    <row r="12" customFormat="false" ht="15" hidden="false" customHeight="false" outlineLevel="0" collapsed="false">
      <c r="A12" s="6" t="s">
        <v>23</v>
      </c>
    </row>
    <row r="13" customFormat="false" ht="30" hidden="false" customHeight="true" outlineLevel="0" collapsed="false">
      <c r="A13" s="7" t="s">
        <v>24</v>
      </c>
      <c r="B13" s="7"/>
      <c r="C13" s="7"/>
    </row>
    <row r="14" customFormat="false" ht="30" hidden="false" customHeight="true" outlineLevel="0" collapsed="false">
      <c r="A14" s="7" t="s">
        <v>25</v>
      </c>
      <c r="B14" s="7"/>
      <c r="C14" s="7"/>
    </row>
    <row r="15" customFormat="false" ht="30" hidden="false" customHeight="true" outlineLevel="0" collapsed="false">
      <c r="A15" s="7" t="s">
        <v>26</v>
      </c>
      <c r="B15" s="7"/>
      <c r="C15" s="7"/>
    </row>
    <row r="16" customFormat="false" ht="30" hidden="false" customHeight="true" outlineLevel="0" collapsed="false">
      <c r="A16" s="7" t="s">
        <v>27</v>
      </c>
      <c r="B16" s="7"/>
      <c r="C16" s="7"/>
    </row>
    <row r="17" customFormat="false" ht="30" hidden="false" customHeight="true" outlineLevel="0" collapsed="false">
      <c r="A17" s="7" t="s">
        <v>28</v>
      </c>
      <c r="B17" s="7"/>
      <c r="C17" s="7"/>
    </row>
    <row r="19" customFormat="false" ht="15" hidden="false" customHeight="false" outlineLevel="0" collapsed="false">
      <c r="A19" s="6" t="s">
        <v>29</v>
      </c>
    </row>
    <row r="20" customFormat="false" ht="15" hidden="false" customHeight="false" outlineLevel="0" collapsed="false">
      <c r="A20" s="8" t="s">
        <v>30</v>
      </c>
    </row>
    <row r="21" customFormat="false" ht="15" hidden="false" customHeight="false" outlineLevel="0" collapsed="false">
      <c r="A21" s="9" t="s">
        <v>31</v>
      </c>
    </row>
    <row r="23" customFormat="false" ht="39.75" hidden="false" customHeight="true" outlineLevel="0" collapsed="false">
      <c r="A23" s="10" t="s">
        <v>32</v>
      </c>
      <c r="B23" s="10"/>
      <c r="C23" s="10"/>
    </row>
  </sheetData>
  <mergeCells count="6">
    <mergeCell ref="A13:C13"/>
    <mergeCell ref="A14:C14"/>
    <mergeCell ref="A15:C15"/>
    <mergeCell ref="A16:C16"/>
    <mergeCell ref="A17:C17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572E"/>
    <pageSetUpPr fitToPage="true"/>
  </sheetPr>
  <dimension ref="A1:J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6" t="s">
        <v>35</v>
      </c>
    </row>
    <row r="5" customFormat="false" ht="15" hidden="false" customHeight="true" outlineLevel="0" collapsed="false">
      <c r="A5" s="11" t="s">
        <v>36</v>
      </c>
      <c r="B5" s="8" t="n">
        <v>100</v>
      </c>
      <c r="C5" s="11" t="s">
        <v>37</v>
      </c>
      <c r="D5" s="2" t="s">
        <v>38</v>
      </c>
      <c r="E5" s="12" t="s">
        <v>39</v>
      </c>
      <c r="F5" s="12"/>
      <c r="G5" s="12"/>
      <c r="H5" s="12"/>
      <c r="I5" s="12"/>
      <c r="J5" s="12"/>
    </row>
    <row r="6" customFormat="false" ht="15" hidden="false" customHeight="false" outlineLevel="0" collapsed="false">
      <c r="A6" s="11" t="s">
        <v>40</v>
      </c>
      <c r="B6" s="8" t="n">
        <v>290</v>
      </c>
      <c r="C6" s="11" t="s">
        <v>41</v>
      </c>
      <c r="D6" s="2" t="s">
        <v>42</v>
      </c>
      <c r="E6" s="12"/>
      <c r="F6" s="12"/>
      <c r="G6" s="12"/>
      <c r="H6" s="12"/>
      <c r="I6" s="12"/>
      <c r="J6" s="12"/>
    </row>
    <row r="7" customFormat="false" ht="15" hidden="false" customHeight="false" outlineLevel="0" collapsed="false">
      <c r="A7" s="11" t="s">
        <v>43</v>
      </c>
      <c r="B7" s="8" t="n">
        <v>8</v>
      </c>
      <c r="C7" s="11" t="s">
        <v>44</v>
      </c>
      <c r="D7" s="2" t="s">
        <v>45</v>
      </c>
    </row>
    <row r="8" customFormat="false" ht="15" hidden="false" customHeight="false" outlineLevel="0" collapsed="false">
      <c r="A8" s="11" t="s">
        <v>46</v>
      </c>
      <c r="B8" s="8" t="n">
        <v>800</v>
      </c>
      <c r="C8" s="11" t="s">
        <v>47</v>
      </c>
      <c r="D8" s="2" t="s">
        <v>48</v>
      </c>
    </row>
    <row r="9" customFormat="false" ht="15" hidden="false" customHeight="false" outlineLevel="0" collapsed="false">
      <c r="A9" s="11" t="s">
        <v>49</v>
      </c>
      <c r="B9" s="8" t="n">
        <v>1.4</v>
      </c>
      <c r="C9" s="11" t="s">
        <v>44</v>
      </c>
    </row>
    <row r="10" customFormat="false" ht="15" hidden="false" customHeight="false" outlineLevel="0" collapsed="false">
      <c r="A10" s="11" t="s">
        <v>50</v>
      </c>
      <c r="B10" s="8" t="n">
        <v>0.718</v>
      </c>
      <c r="C10" s="11" t="s">
        <v>51</v>
      </c>
    </row>
    <row r="11" customFormat="false" ht="15" hidden="false" customHeight="false" outlineLevel="0" collapsed="false">
      <c r="A11" s="11" t="s">
        <v>52</v>
      </c>
      <c r="B11" s="8" t="n">
        <v>0.287</v>
      </c>
      <c r="C11" s="11" t="s">
        <v>51</v>
      </c>
    </row>
    <row r="13" customFormat="false" ht="15" hidden="false" customHeight="false" outlineLevel="0" collapsed="false">
      <c r="A13" s="6" t="s">
        <v>53</v>
      </c>
    </row>
    <row r="14" customFormat="false" ht="15" hidden="false" customHeight="false" outlineLevel="0" collapsed="false">
      <c r="A14" s="13" t="s">
        <v>54</v>
      </c>
      <c r="B14" s="13" t="s">
        <v>55</v>
      </c>
      <c r="C14" s="13" t="s">
        <v>56</v>
      </c>
      <c r="D14" s="13" t="s">
        <v>57</v>
      </c>
      <c r="E14" s="13" t="s">
        <v>58</v>
      </c>
    </row>
    <row r="15" customFormat="false" ht="15" hidden="false" customHeight="false" outlineLevel="0" collapsed="false">
      <c r="A15" s="14" t="n">
        <v>1</v>
      </c>
      <c r="B15" s="15" t="n">
        <f aca="false">B5</f>
        <v>100</v>
      </c>
      <c r="C15" s="16" t="n">
        <f aca="false">B11*B6/B5</f>
        <v>0.8323</v>
      </c>
      <c r="D15" s="15" t="n">
        <f aca="false">B6</f>
        <v>290</v>
      </c>
      <c r="E15" s="16" t="n">
        <f aca="false">0</f>
        <v>0</v>
      </c>
    </row>
    <row r="16" customFormat="false" ht="15" hidden="false" customHeight="false" outlineLevel="0" collapsed="false">
      <c r="A16" s="14" t="n">
        <v>2</v>
      </c>
      <c r="B16" s="15" t="n">
        <f aca="false">B5*B7^B9</f>
        <v>1837.91736799526</v>
      </c>
      <c r="C16" s="16" t="n">
        <f aca="false">C15/B7</f>
        <v>0.1040375</v>
      </c>
      <c r="D16" s="15" t="n">
        <f aca="false">B6*B7^(B9-1)</f>
        <v>666.24504589828</v>
      </c>
      <c r="E16" s="16" t="n">
        <f aca="false">0</f>
        <v>0</v>
      </c>
    </row>
    <row r="17" customFormat="false" ht="15" hidden="false" customHeight="false" outlineLevel="0" collapsed="false">
      <c r="A17" s="14" t="n">
        <v>3</v>
      </c>
      <c r="B17" s="15" t="n">
        <f aca="false">B16*D17/D16</f>
        <v>4911.58944560548</v>
      </c>
      <c r="C17" s="16" t="n">
        <f aca="false">C16</f>
        <v>0.1040375</v>
      </c>
      <c r="D17" s="15" t="n">
        <f aca="false">D16+B8/B10</f>
        <v>1780.45117403199</v>
      </c>
      <c r="E17" s="16" t="n">
        <f aca="false">B10*LN(D17/D16)</f>
        <v>0.705768539772589</v>
      </c>
    </row>
    <row r="18" customFormat="false" ht="15" hidden="false" customHeight="false" outlineLevel="0" collapsed="false">
      <c r="A18" s="14" t="n">
        <v>4</v>
      </c>
      <c r="B18" s="15" t="n">
        <f aca="false">B17/B7^B9</f>
        <v>267.236684909447</v>
      </c>
      <c r="C18" s="16" t="n">
        <f aca="false">C15</f>
        <v>0.8323</v>
      </c>
      <c r="D18" s="15" t="n">
        <f aca="false">D17/B7^(B9-1)</f>
        <v>774.986386237395</v>
      </c>
      <c r="E18" s="16" t="n">
        <f aca="false">E17</f>
        <v>0.705768539772589</v>
      </c>
    </row>
    <row r="20" customFormat="false" ht="15" hidden="false" customHeight="false" outlineLevel="0" collapsed="false">
      <c r="A20" s="6" t="s">
        <v>59</v>
      </c>
    </row>
    <row r="21" customFormat="false" ht="15" hidden="false" customHeight="false" outlineLevel="0" collapsed="false">
      <c r="A21" s="11" t="s">
        <v>60</v>
      </c>
      <c r="B21" s="17" t="n">
        <f aca="false">B10*(D18-D15)</f>
        <v>348.22022531845</v>
      </c>
      <c r="C21" s="11" t="s">
        <v>47</v>
      </c>
    </row>
    <row r="22" customFormat="false" ht="15" hidden="false" customHeight="false" outlineLevel="0" collapsed="false">
      <c r="A22" s="11" t="s">
        <v>61</v>
      </c>
      <c r="B22" s="17" t="n">
        <f aca="false">B8-B21</f>
        <v>451.77977468155</v>
      </c>
      <c r="C22" s="11" t="s">
        <v>47</v>
      </c>
    </row>
    <row r="23" customFormat="false" ht="15" hidden="false" customHeight="false" outlineLevel="0" collapsed="false">
      <c r="A23" s="11" t="s">
        <v>62</v>
      </c>
      <c r="B23" s="18" t="n">
        <f aca="false">B22/B8</f>
        <v>0.564724718351938</v>
      </c>
      <c r="C23" s="11" t="s">
        <v>44</v>
      </c>
    </row>
    <row r="24" customFormat="false" ht="15" hidden="false" customHeight="false" outlineLevel="0" collapsed="false">
      <c r="A24" s="11" t="s">
        <v>63</v>
      </c>
      <c r="B24" s="18" t="n">
        <f aca="false">1-1/B7^(B9-1)</f>
        <v>0.564724718351938</v>
      </c>
      <c r="C24" s="11" t="s">
        <v>44</v>
      </c>
    </row>
    <row r="25" customFormat="false" ht="15" hidden="false" customHeight="false" outlineLevel="0" collapsed="false">
      <c r="A25" s="11" t="s">
        <v>64</v>
      </c>
      <c r="B25" s="17" t="n">
        <f aca="false">B17/100</f>
        <v>49.1158944560548</v>
      </c>
      <c r="C25" s="11" t="s">
        <v>65</v>
      </c>
    </row>
    <row r="26" customFormat="false" ht="15" hidden="false" customHeight="false" outlineLevel="0" collapsed="false">
      <c r="A26" s="11" t="s">
        <v>66</v>
      </c>
      <c r="B26" s="17" t="n">
        <f aca="false">B22/(C15-C16)</f>
        <v>620.352928623334</v>
      </c>
      <c r="C26" s="11" t="s">
        <v>37</v>
      </c>
    </row>
    <row r="27" customFormat="false" ht="15" hidden="false" customHeight="false" outlineLevel="0" collapsed="false">
      <c r="A27" s="11" t="s">
        <v>67</v>
      </c>
      <c r="B27" s="19" t="n">
        <f aca="false">D17-273.15</f>
        <v>1507.30117403198</v>
      </c>
      <c r="C27" s="11" t="s">
        <v>68</v>
      </c>
    </row>
    <row r="30" customFormat="false" ht="15" hidden="false" customHeight="false" outlineLevel="0" collapsed="false">
      <c r="A30" s="6" t="s">
        <v>69</v>
      </c>
    </row>
    <row r="31" customFormat="false" ht="15" hidden="false" customHeight="false" outlineLevel="0" collapsed="false">
      <c r="A31" s="13" t="s">
        <v>70</v>
      </c>
      <c r="B31" s="13" t="s">
        <v>56</v>
      </c>
      <c r="C31" s="13" t="s">
        <v>55</v>
      </c>
      <c r="D31" s="13" t="s">
        <v>57</v>
      </c>
      <c r="E31" s="13" t="s">
        <v>71</v>
      </c>
    </row>
    <row r="32" customFormat="false" ht="15" hidden="false" customHeight="false" outlineLevel="0" collapsed="false">
      <c r="A32" s="20" t="s">
        <v>72</v>
      </c>
      <c r="B32" s="21" t="n">
        <f aca="false">$C$15-($C$15-$C$16)*0/30</f>
        <v>0.8323</v>
      </c>
      <c r="C32" s="22" t="n">
        <f aca="false">$B$15*($C$15/B32)^B9</f>
        <v>100</v>
      </c>
      <c r="D32" s="22" t="n">
        <f aca="false">C32*B32/B11</f>
        <v>290</v>
      </c>
      <c r="E32" s="21" t="n">
        <f aca="false">0</f>
        <v>0</v>
      </c>
    </row>
    <row r="33" customFormat="false" ht="15" hidden="false" customHeight="false" outlineLevel="0" collapsed="false">
      <c r="A33" s="20" t="s">
        <v>72</v>
      </c>
      <c r="B33" s="21" t="n">
        <f aca="false">$C$15-($C$15-$C$16)*1/30</f>
        <v>0.808024583333333</v>
      </c>
      <c r="C33" s="22" t="n">
        <f aca="false">$B$15*($C$15/B33)^B9</f>
        <v>104.231130685217</v>
      </c>
      <c r="D33" s="22" t="n">
        <f aca="false">C33*B33/B11</f>
        <v>293.45406251667</v>
      </c>
      <c r="E33" s="21" t="n">
        <f aca="false">0</f>
        <v>0</v>
      </c>
    </row>
    <row r="34" customFormat="false" ht="15" hidden="false" customHeight="false" outlineLevel="0" collapsed="false">
      <c r="A34" s="20" t="s">
        <v>72</v>
      </c>
      <c r="B34" s="21" t="n">
        <f aca="false">$C$15-($C$15-$C$16)*2/30</f>
        <v>0.783749166666667</v>
      </c>
      <c r="C34" s="22" t="n">
        <f aca="false">$B$15*($C$15/B34)^B9</f>
        <v>108.778714847044</v>
      </c>
      <c r="D34" s="22" t="n">
        <f aca="false">C34*B34/B11</f>
        <v>297.056540461469</v>
      </c>
      <c r="E34" s="21" t="n">
        <f aca="false">0</f>
        <v>0</v>
      </c>
    </row>
    <row r="35" customFormat="false" ht="15" hidden="false" customHeight="false" outlineLevel="0" collapsed="false">
      <c r="A35" s="20" t="s">
        <v>72</v>
      </c>
      <c r="B35" s="21" t="n">
        <f aca="false">$C$15-($C$15-$C$16)*3/30</f>
        <v>0.75947375</v>
      </c>
      <c r="C35" s="22" t="n">
        <f aca="false">$B$15*($C$15/B35)^B9</f>
        <v>113.677359600643</v>
      </c>
      <c r="D35" s="22" t="n">
        <f aca="false">C35*B35/B11</f>
        <v>300.818712843203</v>
      </c>
      <c r="E35" s="21" t="n">
        <f aca="false">0</f>
        <v>0</v>
      </c>
    </row>
    <row r="36" customFormat="false" ht="15" hidden="false" customHeight="false" outlineLevel="0" collapsed="false">
      <c r="A36" s="20" t="s">
        <v>72</v>
      </c>
      <c r="B36" s="21" t="n">
        <f aca="false">$C$15-($C$15-$C$16)*4/30</f>
        <v>0.735198333333333</v>
      </c>
      <c r="C36" s="22" t="n">
        <f aca="false">$B$15*($C$15/B36)^B9</f>
        <v>118.966732371744</v>
      </c>
      <c r="D36" s="22" t="n">
        <f aca="false">C36*B36/B11</f>
        <v>304.75311275895</v>
      </c>
      <c r="E36" s="21" t="n">
        <f aca="false">0</f>
        <v>0</v>
      </c>
    </row>
    <row r="37" customFormat="false" ht="15" hidden="false" customHeight="false" outlineLevel="0" collapsed="false">
      <c r="A37" s="20" t="s">
        <v>72</v>
      </c>
      <c r="B37" s="21" t="n">
        <f aca="false">$C$15-($C$15-$C$16)*5/30</f>
        <v>0.710922916666667</v>
      </c>
      <c r="C37" s="22" t="n">
        <f aca="false">$B$15*($C$15/B37)^B9</f>
        <v>124.692500167374</v>
      </c>
      <c r="D37" s="22" t="n">
        <f aca="false">C37*B37/B11</f>
        <v>308.873713956265</v>
      </c>
      <c r="E37" s="21" t="n">
        <f aca="false">0</f>
        <v>0</v>
      </c>
    </row>
    <row r="38" customFormat="false" ht="15" hidden="false" customHeight="false" outlineLevel="0" collapsed="false">
      <c r="A38" s="20" t="s">
        <v>72</v>
      </c>
      <c r="B38" s="21" t="n">
        <f aca="false">$C$15-($C$15-$C$16)*6/30</f>
        <v>0.6866475</v>
      </c>
      <c r="C38" s="22" t="n">
        <f aca="false">$B$15*($C$15/B38)^B9</f>
        <v>130.907482821596</v>
      </c>
      <c r="D38" s="22" t="n">
        <f aca="false">C38*B38/B11</f>
        <v>313.196152650669</v>
      </c>
      <c r="E38" s="21" t="n">
        <f aca="false">0</f>
        <v>0</v>
      </c>
    </row>
    <row r="39" customFormat="false" ht="15" hidden="false" customHeight="false" outlineLevel="0" collapsed="false">
      <c r="A39" s="20" t="s">
        <v>72</v>
      </c>
      <c r="B39" s="21" t="n">
        <f aca="false">$C$15-($C$15-$C$16)*7/30</f>
        <v>0.662372083333333</v>
      </c>
      <c r="C39" s="22" t="n">
        <f aca="false">$B$15*($C$15/B39)^B9</f>
        <v>137.673078655946</v>
      </c>
      <c r="D39" s="22" t="n">
        <f aca="false">C39*B39/B11</f>
        <v>317.737992781368</v>
      </c>
      <c r="E39" s="21" t="n">
        <f aca="false">0</f>
        <v>0</v>
      </c>
    </row>
    <row r="40" customFormat="false" ht="15" hidden="false" customHeight="false" outlineLevel="0" collapsed="false">
      <c r="A40" s="20" t="s">
        <v>72</v>
      </c>
      <c r="B40" s="21" t="n">
        <f aca="false">$C$15-($C$15-$C$16)*8/30</f>
        <v>0.638096666666667</v>
      </c>
      <c r="C40" s="22" t="n">
        <f aca="false">$B$15*($C$15/B40)^B9</f>
        <v>145.061039805271</v>
      </c>
      <c r="D40" s="22" t="n">
        <f aca="false">C40*B40/B11</f>
        <v>322.519045167053</v>
      </c>
      <c r="E40" s="21" t="n">
        <f aca="false">0</f>
        <v>0</v>
      </c>
    </row>
    <row r="41" customFormat="false" ht="15" hidden="false" customHeight="false" outlineLevel="0" collapsed="false">
      <c r="A41" s="20" t="s">
        <v>72</v>
      </c>
      <c r="B41" s="21" t="n">
        <f aca="false">$C$15-($C$15-$C$16)*9/30</f>
        <v>0.61382125</v>
      </c>
      <c r="C41" s="22" t="n">
        <f aca="false">$B$15*($C$15/B41)^B9</f>
        <v>153.155700316114</v>
      </c>
      <c r="D41" s="22" t="n">
        <f aca="false">C41*B41/B11</f>
        <v>327.561754051088</v>
      </c>
      <c r="E41" s="21" t="n">
        <f aca="false">0</f>
        <v>0</v>
      </c>
    </row>
    <row r="42" customFormat="false" ht="15" hidden="false" customHeight="false" outlineLevel="0" collapsed="false">
      <c r="A42" s="20" t="s">
        <v>72</v>
      </c>
      <c r="B42" s="21" t="n">
        <f aca="false">$C$15-($C$15-$C$16)*10/30</f>
        <v>0.589545833333333</v>
      </c>
      <c r="C42" s="22" t="n">
        <f aca="false">$B$15*($C$15/B42)^B9</f>
        <v>162.056796067214</v>
      </c>
      <c r="D42" s="22" t="n">
        <f aca="false">C42*B42/B11</f>
        <v>332.89166858807</v>
      </c>
      <c r="E42" s="21" t="n">
        <f aca="false">0</f>
        <v>0</v>
      </c>
    </row>
    <row r="43" customFormat="false" ht="15" hidden="false" customHeight="false" outlineLevel="0" collapsed="false">
      <c r="A43" s="20" t="s">
        <v>72</v>
      </c>
      <c r="B43" s="21" t="n">
        <f aca="false">$C$15-($C$15-$C$16)*11/30</f>
        <v>0.565270416666667</v>
      </c>
      <c r="C43" s="22" t="n">
        <f aca="false">$B$15*($C$15/B43)^B9</f>
        <v>171.883066131178</v>
      </c>
      <c r="D43" s="22" t="n">
        <f aca="false">C43*B43/B11</f>
        <v>338.5380223342</v>
      </c>
      <c r="E43" s="21" t="n">
        <f aca="false">0</f>
        <v>0</v>
      </c>
    </row>
    <row r="44" customFormat="false" ht="15" hidden="false" customHeight="false" outlineLevel="0" collapsed="false">
      <c r="A44" s="20" t="s">
        <v>72</v>
      </c>
      <c r="B44" s="21" t="n">
        <f aca="false">$C$15-($C$15-$C$16)*12/30</f>
        <v>0.540995</v>
      </c>
      <c r="C44" s="22" t="n">
        <f aca="false">$B$15*($C$15/B44)^B9</f>
        <v>182.776897276152</v>
      </c>
      <c r="D44" s="22" t="n">
        <f aca="false">C44*B44/B11</f>
        <v>344.534451365547</v>
      </c>
      <c r="E44" s="21" t="n">
        <f aca="false">0</f>
        <v>0</v>
      </c>
    </row>
    <row r="45" customFormat="false" ht="15" hidden="false" customHeight="false" outlineLevel="0" collapsed="false">
      <c r="A45" s="20" t="s">
        <v>72</v>
      </c>
      <c r="B45" s="21" t="n">
        <f aca="false">$C$15-($C$15-$C$16)*13/30</f>
        <v>0.516719583333333</v>
      </c>
      <c r="C45" s="22" t="n">
        <f aca="false">$B$15*($C$15/B45)^B9</f>
        <v>194.910377498679</v>
      </c>
      <c r="D45" s="22" t="n">
        <f aca="false">C45*B45/B11</f>
        <v>350.919892154914</v>
      </c>
      <c r="E45" s="21" t="n">
        <f aca="false">0</f>
        <v>0</v>
      </c>
    </row>
    <row r="46" customFormat="false" ht="15" hidden="false" customHeight="false" outlineLevel="0" collapsed="false">
      <c r="A46" s="20" t="s">
        <v>72</v>
      </c>
      <c r="B46" s="21" t="n">
        <f aca="false">$C$15-($C$15-$C$16)*14/30</f>
        <v>0.492444166666667</v>
      </c>
      <c r="C46" s="22" t="n">
        <f aca="false">$B$15*($C$15/B46)^B9</f>
        <v>208.493277398315</v>
      </c>
      <c r="D46" s="22" t="n">
        <f aca="false">C46*B46/B11</f>
        <v>357.739715135941</v>
      </c>
      <c r="E46" s="21" t="n">
        <f aca="false">0</f>
        <v>0</v>
      </c>
    </row>
    <row r="47" customFormat="false" ht="15" hidden="false" customHeight="false" outlineLevel="0" collapsed="false">
      <c r="A47" s="20" t="s">
        <v>72</v>
      </c>
      <c r="B47" s="21" t="n">
        <f aca="false">$C$15-($C$15-$C$16)*15/30</f>
        <v>0.46816875</v>
      </c>
      <c r="C47" s="22" t="n">
        <f aca="false">$B$15*($C$15/B47)^B9</f>
        <v>223.783706381014</v>
      </c>
      <c r="D47" s="22" t="n">
        <f aca="false">C47*B47/B11</f>
        <v>365.047171034029</v>
      </c>
      <c r="E47" s="21" t="n">
        <f aca="false">0</f>
        <v>0</v>
      </c>
    </row>
    <row r="48" customFormat="false" ht="15" hidden="false" customHeight="false" outlineLevel="0" collapsed="false">
      <c r="A48" s="20" t="s">
        <v>72</v>
      </c>
      <c r="B48" s="21" t="n">
        <f aca="false">$C$15-($C$15-$C$16)*16/30</f>
        <v>0.443893333333333</v>
      </c>
      <c r="C48" s="22" t="n">
        <f aca="false">$B$15*($C$15/B48)^B9</f>
        <v>241.102537347893</v>
      </c>
      <c r="D48" s="22" t="n">
        <f aca="false">C48*B48/B11</f>
        <v>372.905257764741</v>
      </c>
      <c r="E48" s="21" t="n">
        <f aca="false">0</f>
        <v>0</v>
      </c>
    </row>
    <row r="49" customFormat="false" ht="15" hidden="false" customHeight="false" outlineLevel="0" collapsed="false">
      <c r="A49" s="20" t="s">
        <v>72</v>
      </c>
      <c r="B49" s="21" t="n">
        <f aca="false">$C$15-($C$15-$C$16)*17/30</f>
        <v>0.419617916666667</v>
      </c>
      <c r="C49" s="22" t="n">
        <f aca="false">$B$15*($C$15/B49)^B9</f>
        <v>260.853230741956</v>
      </c>
      <c r="D49" s="22" t="n">
        <f aca="false">C49*B49/B11</f>
        <v>381.389161113968</v>
      </c>
      <c r="E49" s="21" t="n">
        <f aca="false">0</f>
        <v>0</v>
      </c>
    </row>
    <row r="50" customFormat="false" ht="15" hidden="false" customHeight="false" outlineLevel="0" collapsed="false">
      <c r="A50" s="20" t="s">
        <v>72</v>
      </c>
      <c r="B50" s="21" t="n">
        <f aca="false">$C$15-($C$15-$C$16)*18/30</f>
        <v>0.3953425</v>
      </c>
      <c r="C50" s="22" t="n">
        <f aca="false">$B$15*($C$15/B50)^B9</f>
        <v>283.549539644061</v>
      </c>
      <c r="D50" s="22" t="n">
        <f aca="false">C50*B50/B11</f>
        <v>390.589490859694</v>
      </c>
      <c r="E50" s="21" t="n">
        <f aca="false">0</f>
        <v>0</v>
      </c>
    </row>
    <row r="51" customFormat="false" ht="15" hidden="false" customHeight="false" outlineLevel="0" collapsed="false">
      <c r="A51" s="20" t="s">
        <v>72</v>
      </c>
      <c r="B51" s="21" t="n">
        <f aca="false">$C$15-($C$15-$C$16)*19/30</f>
        <v>0.371067083333333</v>
      </c>
      <c r="C51" s="22" t="n">
        <f aca="false">$B$15*($C$15/B51)^B9</f>
        <v>309.854957953263</v>
      </c>
      <c r="D51" s="22" t="n">
        <f aca="false">C51*B51/B11</f>
        <v>400.616639387073</v>
      </c>
      <c r="E51" s="21" t="n">
        <f aca="false">0</f>
        <v>0</v>
      </c>
    </row>
    <row r="52" customFormat="false" ht="15" hidden="false" customHeight="false" outlineLevel="0" collapsed="false">
      <c r="A52" s="20" t="s">
        <v>72</v>
      </c>
      <c r="B52" s="21" t="n">
        <f aca="false">$C$15-($C$15-$C$16)*20/30</f>
        <v>0.346791666666667</v>
      </c>
      <c r="C52" s="22" t="n">
        <f aca="false">$B$15*($C$15/B52)^B9</f>
        <v>340.640073966027</v>
      </c>
      <c r="D52" s="22" t="n">
        <f aca="false">C52*B52/B11</f>
        <v>411.606756042282</v>
      </c>
      <c r="E52" s="21" t="n">
        <f aca="false">0</f>
        <v>0</v>
      </c>
    </row>
    <row r="53" customFormat="false" ht="15" hidden="false" customHeight="false" outlineLevel="0" collapsed="false">
      <c r="A53" s="20" t="s">
        <v>72</v>
      </c>
      <c r="B53" s="21" t="n">
        <f aca="false">$C$15-($C$15-$C$16)*21/30</f>
        <v>0.32251625</v>
      </c>
      <c r="C53" s="22" t="n">
        <f aca="false">$B$15*($C$15/B53)^B9</f>
        <v>377.067941824627</v>
      </c>
      <c r="D53" s="22" t="n">
        <f aca="false">C53*B53/B11</f>
        <v>423.730099625424</v>
      </c>
      <c r="E53" s="21" t="n">
        <f aca="false">0</f>
        <v>0</v>
      </c>
    </row>
    <row r="54" customFormat="false" ht="15" hidden="false" customHeight="false" outlineLevel="0" collapsed="false">
      <c r="A54" s="20" t="s">
        <v>72</v>
      </c>
      <c r="B54" s="21" t="n">
        <f aca="false">$C$15-($C$15-$C$16)*22/30</f>
        <v>0.298240833333333</v>
      </c>
      <c r="C54" s="22" t="n">
        <f aca="false">$B$15*($C$15/B54)^B9</f>
        <v>420.724600443056</v>
      </c>
      <c r="D54" s="22" t="n">
        <f aca="false">C54*B54/B11</f>
        <v>437.202980627075</v>
      </c>
      <c r="E54" s="21" t="n">
        <f aca="false">0</f>
        <v>0</v>
      </c>
    </row>
    <row r="55" customFormat="false" ht="15" hidden="false" customHeight="false" outlineLevel="0" collapsed="false">
      <c r="A55" s="20" t="s">
        <v>72</v>
      </c>
      <c r="B55" s="21" t="n">
        <f aca="false">$C$15-($C$15-$C$16)*23/30</f>
        <v>0.273965416666667</v>
      </c>
      <c r="C55" s="22" t="n">
        <f aca="false">$B$15*($C$15/B55)^B9</f>
        <v>473.824824685107</v>
      </c>
      <c r="D55" s="22" t="n">
        <f aca="false">C55*B55/B11</f>
        <v>452.305280563992</v>
      </c>
      <c r="E55" s="21" t="n">
        <f aca="false">0</f>
        <v>0</v>
      </c>
    </row>
    <row r="56" customFormat="false" ht="15" hidden="false" customHeight="false" outlineLevel="0" collapsed="false">
      <c r="A56" s="20" t="s">
        <v>72</v>
      </c>
      <c r="B56" s="21" t="n">
        <f aca="false">$C$15-($C$15-$C$16)*24/30</f>
        <v>0.24969</v>
      </c>
      <c r="C56" s="22" t="n">
        <f aca="false">$B$15*($C$15/B56)^B9</f>
        <v>539.548194255782</v>
      </c>
      <c r="D56" s="22" t="n">
        <f aca="false">C56*B56/B11</f>
        <v>469.40692900253</v>
      </c>
      <c r="E56" s="21" t="n">
        <f aca="false">0</f>
        <v>0</v>
      </c>
    </row>
    <row r="57" customFormat="false" ht="15" hidden="false" customHeight="false" outlineLevel="0" collapsed="false">
      <c r="A57" s="20" t="s">
        <v>72</v>
      </c>
      <c r="B57" s="21" t="n">
        <f aca="false">$C$15-($C$15-$C$16)*25/30</f>
        <v>0.225414583333333</v>
      </c>
      <c r="C57" s="22" t="n">
        <f aca="false">$B$15*($C$15/B57)^B9</f>
        <v>622.611358074292</v>
      </c>
      <c r="D57" s="22" t="n">
        <f aca="false">C57*B57/B11</f>
        <v>489.009337487517</v>
      </c>
      <c r="E57" s="21" t="n">
        <f aca="false">0</f>
        <v>0</v>
      </c>
    </row>
    <row r="58" customFormat="false" ht="15" hidden="false" customHeight="false" outlineLevel="0" collapsed="false">
      <c r="A58" s="20" t="s">
        <v>72</v>
      </c>
      <c r="B58" s="21" t="n">
        <f aca="false">$C$15-($C$15-$C$16)*26/30</f>
        <v>0.201139166666667</v>
      </c>
      <c r="C58" s="22" t="n">
        <f aca="false">$B$15*($C$15/B58)^B9</f>
        <v>730.292007111677</v>
      </c>
      <c r="D58" s="22" t="n">
        <f aca="false">C58*B58/B11</f>
        <v>511.812981650767</v>
      </c>
      <c r="E58" s="21" t="n">
        <f aca="false">0</f>
        <v>0</v>
      </c>
    </row>
    <row r="59" customFormat="false" ht="15" hidden="false" customHeight="false" outlineLevel="0" collapsed="false">
      <c r="A59" s="20" t="s">
        <v>72</v>
      </c>
      <c r="B59" s="21" t="n">
        <f aca="false">$C$15-($C$15-$C$16)*27/30</f>
        <v>0.17686375</v>
      </c>
      <c r="C59" s="22" t="n">
        <f aca="false">$B$15*($C$15/B59)^B9</f>
        <v>874.374516849431</v>
      </c>
      <c r="D59" s="22" t="n">
        <f aca="false">C59*B59/B11</f>
        <v>538.833296008462</v>
      </c>
      <c r="E59" s="21" t="n">
        <f aca="false">0</f>
        <v>0</v>
      </c>
    </row>
    <row r="60" customFormat="false" ht="15" hidden="false" customHeight="false" outlineLevel="0" collapsed="false">
      <c r="A60" s="20" t="s">
        <v>72</v>
      </c>
      <c r="B60" s="21" t="n">
        <f aca="false">$C$15-($C$15-$C$16)*28/30</f>
        <v>0.152588333333333</v>
      </c>
      <c r="C60" s="22" t="n">
        <f aca="false">$B$15*($C$15/B60)^B9</f>
        <v>1075.13250258136</v>
      </c>
      <c r="D60" s="22" t="n">
        <f aca="false">C60*B60/B11</f>
        <v>571.612113872424</v>
      </c>
      <c r="E60" s="21" t="n">
        <f aca="false">0</f>
        <v>0</v>
      </c>
    </row>
    <row r="61" customFormat="false" ht="15" hidden="false" customHeight="false" outlineLevel="0" collapsed="false">
      <c r="A61" s="20" t="s">
        <v>72</v>
      </c>
      <c r="B61" s="21" t="n">
        <f aca="false">$C$15-($C$15-$C$16)*29/30</f>
        <v>0.128312916666667</v>
      </c>
      <c r="C61" s="22" t="n">
        <f aca="false">$B$15*($C$15/B61)^B9</f>
        <v>1370.29263878573</v>
      </c>
      <c r="D61" s="22" t="n">
        <f aca="false">C61*B61/B11</f>
        <v>612.635000590451</v>
      </c>
      <c r="E61" s="21" t="n">
        <f aca="false">0</f>
        <v>0</v>
      </c>
    </row>
    <row r="62" customFormat="false" ht="15" hidden="false" customHeight="false" outlineLevel="0" collapsed="false">
      <c r="A62" s="20" t="s">
        <v>72</v>
      </c>
      <c r="B62" s="21" t="n">
        <f aca="false">$C$15-($C$15-$C$16)*30/30</f>
        <v>0.1040375</v>
      </c>
      <c r="C62" s="22" t="n">
        <f aca="false">$B$15*($C$15/B62)^B9</f>
        <v>1837.91736799526</v>
      </c>
      <c r="D62" s="22" t="n">
        <f aca="false">C62*B62/B11</f>
        <v>666.24504589828</v>
      </c>
      <c r="E62" s="21" t="n">
        <f aca="false">0</f>
        <v>0</v>
      </c>
    </row>
    <row r="63" customFormat="false" ht="15" hidden="false" customHeight="false" outlineLevel="0" collapsed="false">
      <c r="A63" s="20" t="s">
        <v>73</v>
      </c>
      <c r="B63" s="21" t="n">
        <f aca="false">$C$16</f>
        <v>0.1040375</v>
      </c>
      <c r="C63" s="22" t="n">
        <f aca="false">D63*B11/B63</f>
        <v>1837.91736799526</v>
      </c>
      <c r="D63" s="22" t="n">
        <f aca="false">$D$16+($D$17-$D$16)*0/10</f>
        <v>666.24504589828</v>
      </c>
      <c r="E63" s="21" t="n">
        <f aca="false">B10*LN(D63/$D$16)</f>
        <v>0</v>
      </c>
    </row>
    <row r="64" customFormat="false" ht="15" hidden="false" customHeight="false" outlineLevel="0" collapsed="false">
      <c r="A64" s="20" t="s">
        <v>73</v>
      </c>
      <c r="B64" s="21" t="n">
        <f aca="false">$C$16</f>
        <v>0.1040375</v>
      </c>
      <c r="C64" s="22" t="n">
        <f aca="false">D64*B11/B64</f>
        <v>2145.28457575628</v>
      </c>
      <c r="D64" s="22" t="n">
        <f aca="false">$D$16+($D$17-$D$16)*1/10</f>
        <v>777.665658711651</v>
      </c>
      <c r="E64" s="21" t="n">
        <f aca="false">B10*LN(D64/$D$16)</f>
        <v>0.1110309079572</v>
      </c>
    </row>
    <row r="65" customFormat="false" ht="15" hidden="false" customHeight="false" outlineLevel="0" collapsed="false">
      <c r="A65" s="20" t="s">
        <v>73</v>
      </c>
      <c r="B65" s="21" t="n">
        <f aca="false">$C$16</f>
        <v>0.1040375</v>
      </c>
      <c r="C65" s="22" t="n">
        <f aca="false">D65*B11/B65</f>
        <v>2452.6517835173</v>
      </c>
      <c r="D65" s="22" t="n">
        <f aca="false">$D$16+($D$17-$D$16)*2/10</f>
        <v>889.086271525021</v>
      </c>
      <c r="E65" s="21" t="n">
        <f aca="false">B10*LN(D65/$D$16)</f>
        <v>0.207169375362587</v>
      </c>
    </row>
    <row r="66" customFormat="false" ht="15" hidden="false" customHeight="false" outlineLevel="0" collapsed="false">
      <c r="A66" s="20" t="s">
        <v>73</v>
      </c>
      <c r="B66" s="21" t="n">
        <f aca="false">$C$16</f>
        <v>0.1040375</v>
      </c>
      <c r="C66" s="22" t="n">
        <f aca="false">D66*B11/B66</f>
        <v>2760.01899127832</v>
      </c>
      <c r="D66" s="22" t="n">
        <f aca="false">$D$16+($D$17-$D$16)*3/10</f>
        <v>1000.50688433839</v>
      </c>
      <c r="E66" s="21" t="n">
        <f aca="false">B10*LN(D66/$D$16)</f>
        <v>0.291942027586343</v>
      </c>
    </row>
    <row r="67" customFormat="false" ht="15" hidden="false" customHeight="false" outlineLevel="0" collapsed="false">
      <c r="A67" s="20" t="s">
        <v>73</v>
      </c>
      <c r="B67" s="21" t="n">
        <f aca="false">$C$16</f>
        <v>0.1040375</v>
      </c>
      <c r="C67" s="22" t="n">
        <f aca="false">D67*B11/B67</f>
        <v>3067.38619903934</v>
      </c>
      <c r="D67" s="22" t="n">
        <f aca="false">$D$16+($D$17-$D$16)*4/10</f>
        <v>1111.92749715176</v>
      </c>
      <c r="E67" s="21" t="n">
        <f aca="false">B10*LN(D67/$D$16)</f>
        <v>0.367754382027869</v>
      </c>
    </row>
    <row r="68" customFormat="false" ht="15" hidden="false" customHeight="false" outlineLevel="0" collapsed="false">
      <c r="A68" s="20" t="s">
        <v>73</v>
      </c>
      <c r="B68" s="21" t="n">
        <f aca="false">$C$16</f>
        <v>0.1040375</v>
      </c>
      <c r="C68" s="22" t="n">
        <f aca="false">D68*B11/B68</f>
        <v>3374.75340680037</v>
      </c>
      <c r="D68" s="22" t="n">
        <f aca="false">$D$16+($D$17-$D$16)*5/10</f>
        <v>1223.34810996513</v>
      </c>
      <c r="E68" s="21" t="n">
        <f aca="false">B10*LN(D68/$D$16)</f>
        <v>0.436320839601594</v>
      </c>
    </row>
    <row r="69" customFormat="false" ht="15" hidden="false" customHeight="false" outlineLevel="0" collapsed="false">
      <c r="A69" s="20" t="s">
        <v>73</v>
      </c>
      <c r="B69" s="21" t="n">
        <f aca="false">$C$16</f>
        <v>0.1040375</v>
      </c>
      <c r="C69" s="22" t="n">
        <f aca="false">D69*B11/B69</f>
        <v>3682.12061456139</v>
      </c>
      <c r="D69" s="22" t="n">
        <f aca="false">$D$16+($D$17-$D$16)*6/10</f>
        <v>1334.7687227785</v>
      </c>
      <c r="E69" s="21" t="n">
        <f aca="false">B10*LN(D69/$D$16)</f>
        <v>0.498906446313192</v>
      </c>
    </row>
    <row r="70" customFormat="false" ht="15" hidden="false" customHeight="false" outlineLevel="0" collapsed="false">
      <c r="A70" s="20" t="s">
        <v>73</v>
      </c>
      <c r="B70" s="21" t="n">
        <f aca="false">$C$16</f>
        <v>0.1040375</v>
      </c>
      <c r="C70" s="22" t="n">
        <f aca="false">D70*B11/B70</f>
        <v>3989.48782232241</v>
      </c>
      <c r="D70" s="22" t="n">
        <f aca="false">$D$16+($D$17-$D$16)*7/10</f>
        <v>1446.18933559187</v>
      </c>
      <c r="E70" s="21" t="n">
        <f aca="false">B10*LN(D70/$D$16)</f>
        <v>0.556471390635741</v>
      </c>
    </row>
    <row r="71" customFormat="false" ht="15" hidden="false" customHeight="false" outlineLevel="0" collapsed="false">
      <c r="A71" s="20" t="s">
        <v>73</v>
      </c>
      <c r="B71" s="21" t="n">
        <f aca="false">$C$16</f>
        <v>0.1040375</v>
      </c>
      <c r="C71" s="22" t="n">
        <f aca="false">D71*B11/B71</f>
        <v>4296.85503008343</v>
      </c>
      <c r="D71" s="22" t="n">
        <f aca="false">$D$16+($D$17-$D$16)*8/10</f>
        <v>1557.60994840524</v>
      </c>
      <c r="E71" s="21" t="n">
        <f aca="false">B10*LN(D71/$D$16)</f>
        <v>0.609761716401004</v>
      </c>
    </row>
    <row r="72" customFormat="false" ht="15" hidden="false" customHeight="false" outlineLevel="0" collapsed="false">
      <c r="A72" s="20" t="s">
        <v>73</v>
      </c>
      <c r="B72" s="21" t="n">
        <f aca="false">$C$16</f>
        <v>0.1040375</v>
      </c>
      <c r="C72" s="22" t="n">
        <f aca="false">D72*B11/B72</f>
        <v>4604.22223784445</v>
      </c>
      <c r="D72" s="22" t="n">
        <f aca="false">$D$16+($D$17-$D$16)*9/10</f>
        <v>1669.03056121861</v>
      </c>
      <c r="E72" s="21" t="n">
        <f aca="false">B10*LN(D72/$D$16)</f>
        <v>0.659368618965032</v>
      </c>
    </row>
    <row r="73" customFormat="false" ht="15" hidden="false" customHeight="false" outlineLevel="0" collapsed="false">
      <c r="A73" s="20" t="s">
        <v>73</v>
      </c>
      <c r="B73" s="21" t="n">
        <f aca="false">$C$16</f>
        <v>0.1040375</v>
      </c>
      <c r="C73" s="22" t="n">
        <f aca="false">D73*B11/B73</f>
        <v>4911.58944560548</v>
      </c>
      <c r="D73" s="22" t="n">
        <f aca="false">$D$16+($D$17-$D$16)*10/10</f>
        <v>1780.45117403199</v>
      </c>
      <c r="E73" s="21" t="n">
        <f aca="false">B10*LN(D73/$D$16)</f>
        <v>0.705768539772589</v>
      </c>
    </row>
    <row r="74" customFormat="false" ht="15" hidden="false" customHeight="false" outlineLevel="0" collapsed="false">
      <c r="A74" s="20" t="s">
        <v>74</v>
      </c>
      <c r="B74" s="21" t="n">
        <f aca="false">$C$16+($C$15-$C$16)*0/30</f>
        <v>0.1040375</v>
      </c>
      <c r="C74" s="22" t="n">
        <f aca="false">$B$17*($C$16/B74)^B9</f>
        <v>4911.58944560548</v>
      </c>
      <c r="D74" s="22" t="n">
        <f aca="false">C74*B74/B11</f>
        <v>1780.45117403199</v>
      </c>
      <c r="E74" s="21" t="n">
        <f aca="false">$E$17</f>
        <v>0.705768539772589</v>
      </c>
    </row>
    <row r="75" customFormat="false" ht="15" hidden="false" customHeight="false" outlineLevel="0" collapsed="false">
      <c r="A75" s="20" t="s">
        <v>74</v>
      </c>
      <c r="B75" s="21" t="n">
        <f aca="false">$C$16+($C$15-$C$16)*1/30</f>
        <v>0.128312916666667</v>
      </c>
      <c r="C75" s="22" t="n">
        <f aca="false">$B$17*($C$16/B75)^B9</f>
        <v>3661.92462144915</v>
      </c>
      <c r="D75" s="22" t="n">
        <f aca="false">C75*B75/B11</f>
        <v>1637.18546617289</v>
      </c>
      <c r="E75" s="21" t="n">
        <f aca="false">$E$17</f>
        <v>0.705768539772589</v>
      </c>
    </row>
    <row r="76" customFormat="false" ht="15" hidden="false" customHeight="false" outlineLevel="0" collapsed="false">
      <c r="A76" s="20" t="s">
        <v>74</v>
      </c>
      <c r="B76" s="21" t="n">
        <f aca="false">$C$16+($C$15-$C$16)*2/30</f>
        <v>0.152588333333333</v>
      </c>
      <c r="C76" s="22" t="n">
        <f aca="false">$B$17*($C$16/B76)^B9</f>
        <v>2873.1484582824</v>
      </c>
      <c r="D76" s="22" t="n">
        <f aca="false">C76*B76/B11</f>
        <v>1527.55726365348</v>
      </c>
      <c r="E76" s="21" t="n">
        <f aca="false">$E$17</f>
        <v>0.705768539772589</v>
      </c>
    </row>
    <row r="77" customFormat="false" ht="15" hidden="false" customHeight="false" outlineLevel="0" collapsed="false">
      <c r="A77" s="20" t="s">
        <v>74</v>
      </c>
      <c r="B77" s="21" t="n">
        <f aca="false">$C$16+($C$15-$C$16)*3/30</f>
        <v>0.17686375</v>
      </c>
      <c r="C77" s="22" t="n">
        <f aca="false">$B$17*($C$16/B77)^B9</f>
        <v>2336.64947252141</v>
      </c>
      <c r="D77" s="22" t="n">
        <f aca="false">C77*B77/B11</f>
        <v>1439.96023744132</v>
      </c>
      <c r="E77" s="21" t="n">
        <f aca="false">$E$17</f>
        <v>0.705768539772589</v>
      </c>
    </row>
    <row r="78" customFormat="false" ht="15" hidden="false" customHeight="false" outlineLevel="0" collapsed="false">
      <c r="A78" s="20" t="s">
        <v>74</v>
      </c>
      <c r="B78" s="21" t="n">
        <f aca="false">$C$16+($C$15-$C$16)*4/30</f>
        <v>0.201139166666667</v>
      </c>
      <c r="C78" s="22" t="n">
        <f aca="false">$B$17*($C$16/B78)^B9</f>
        <v>1951.60814996391</v>
      </c>
      <c r="D78" s="22" t="n">
        <f aca="false">C78*B78/B11</f>
        <v>1367.7520450997</v>
      </c>
      <c r="E78" s="21" t="n">
        <f aca="false">$E$17</f>
        <v>0.705768539772589</v>
      </c>
    </row>
    <row r="79" customFormat="false" ht="15" hidden="false" customHeight="false" outlineLevel="0" collapsed="false">
      <c r="A79" s="20" t="s">
        <v>74</v>
      </c>
      <c r="B79" s="21" t="n">
        <f aca="false">$C$16+($C$15-$C$16)*5/30</f>
        <v>0.225414583333333</v>
      </c>
      <c r="C79" s="22" t="n">
        <f aca="false">$B$17*($C$16/B79)^B9</f>
        <v>1663.84595318742</v>
      </c>
      <c r="D79" s="22" t="n">
        <f aca="false">C79*B79/B11</f>
        <v>1306.81234239929</v>
      </c>
      <c r="E79" s="21" t="n">
        <f aca="false">$E$17</f>
        <v>0.705768539772589</v>
      </c>
    </row>
    <row r="80" customFormat="false" ht="15" hidden="false" customHeight="false" outlineLevel="0" collapsed="false">
      <c r="A80" s="20" t="s">
        <v>74</v>
      </c>
      <c r="B80" s="21" t="n">
        <f aca="false">$C$16+($C$15-$C$16)*6/30</f>
        <v>0.24969</v>
      </c>
      <c r="C80" s="22" t="n">
        <f aca="false">$B$17*($C$16/B80)^B9</f>
        <v>1441.87070781793</v>
      </c>
      <c r="D80" s="22" t="n">
        <f aca="false">C80*B80/B11</f>
        <v>1254.4275158016</v>
      </c>
      <c r="E80" s="21" t="n">
        <f aca="false">$E$17</f>
        <v>0.705768539772589</v>
      </c>
    </row>
    <row r="81" customFormat="false" ht="15" hidden="false" customHeight="false" outlineLevel="0" collapsed="false">
      <c r="A81" s="20" t="s">
        <v>74</v>
      </c>
      <c r="B81" s="21" t="n">
        <f aca="false">$C$16+($C$15-$C$16)*7/30</f>
        <v>0.273965416666667</v>
      </c>
      <c r="C81" s="22" t="n">
        <f aca="false">$B$17*($C$16/B81)^B9</f>
        <v>1266.23375376648</v>
      </c>
      <c r="D81" s="22" t="n">
        <f aca="false">C81*B81/B11</f>
        <v>1208.72563744958</v>
      </c>
      <c r="E81" s="21" t="n">
        <f aca="false">$E$17</f>
        <v>0.705768539772589</v>
      </c>
    </row>
    <row r="82" customFormat="false" ht="15" hidden="false" customHeight="false" outlineLevel="0" collapsed="false">
      <c r="A82" s="20" t="s">
        <v>74</v>
      </c>
      <c r="B82" s="21" t="n">
        <f aca="false">$C$16+($C$15-$C$16)*8/30</f>
        <v>0.298240833333333</v>
      </c>
      <c r="C82" s="22" t="n">
        <f aca="false">$B$17*($C$16/B82)^B9</f>
        <v>1124.33047482254</v>
      </c>
      <c r="D82" s="22" t="n">
        <f aca="false">C82*B82/B11</f>
        <v>1168.36675175309</v>
      </c>
      <c r="E82" s="21" t="n">
        <f aca="false">$E$17</f>
        <v>0.705768539772589</v>
      </c>
    </row>
    <row r="83" customFormat="false" ht="15" hidden="false" customHeight="false" outlineLevel="0" collapsed="false">
      <c r="A83" s="20" t="s">
        <v>74</v>
      </c>
      <c r="B83" s="21" t="n">
        <f aca="false">$C$16+($C$15-$C$16)*9/30</f>
        <v>0.32251625</v>
      </c>
      <c r="C83" s="22" t="n">
        <f aca="false">$B$17*($C$16/B83)^B9</f>
        <v>1007.66386758841</v>
      </c>
      <c r="D83" s="22" t="n">
        <f aca="false">C83*B83/B11</f>
        <v>1132.36227120248</v>
      </c>
      <c r="E83" s="21" t="n">
        <f aca="false">$E$17</f>
        <v>0.705768539772589</v>
      </c>
    </row>
    <row r="84" customFormat="false" ht="15" hidden="false" customHeight="false" outlineLevel="0" collapsed="false">
      <c r="A84" s="20" t="s">
        <v>74</v>
      </c>
      <c r="B84" s="21" t="n">
        <f aca="false">$C$16+($C$15-$C$16)*10/30</f>
        <v>0.346791666666667</v>
      </c>
      <c r="C84" s="22" t="n">
        <f aca="false">$B$17*($C$16/B84)^B9</f>
        <v>910.315241139896</v>
      </c>
      <c r="D84" s="22" t="n">
        <f aca="false">C84*B84/B11</f>
        <v>1099.96424971071</v>
      </c>
      <c r="E84" s="21" t="n">
        <f aca="false">$E$17</f>
        <v>0.705768539772589</v>
      </c>
    </row>
    <row r="85" customFormat="false" ht="15" hidden="false" customHeight="false" outlineLevel="0" collapsed="false">
      <c r="A85" s="20" t="s">
        <v>74</v>
      </c>
      <c r="B85" s="21" t="n">
        <f aca="false">$C$16+($C$15-$C$16)*11/30</f>
        <v>0.371067083333333</v>
      </c>
      <c r="C85" s="22" t="n">
        <f aca="false">$B$17*($C$16/B85)^B9</f>
        <v>828.046117661861</v>
      </c>
      <c r="D85" s="22" t="n">
        <f aca="false">C85*B85/B11</f>
        <v>1070.59462629365</v>
      </c>
      <c r="E85" s="21" t="n">
        <f aca="false">$E$17</f>
        <v>0.705768539772589</v>
      </c>
    </row>
    <row r="86" customFormat="false" ht="15" hidden="false" customHeight="false" outlineLevel="0" collapsed="false">
      <c r="A86" s="20" t="s">
        <v>74</v>
      </c>
      <c r="B86" s="21" t="n">
        <f aca="false">$C$16+($C$15-$C$16)*12/30</f>
        <v>0.3953425</v>
      </c>
      <c r="C86" s="22" t="n">
        <f aca="false">$B$17*($C$16/B86)^B9</f>
        <v>757.748389820785</v>
      </c>
      <c r="D86" s="22" t="n">
        <f aca="false">C86*B86/B11</f>
        <v>1043.79840697813</v>
      </c>
      <c r="E86" s="21" t="n">
        <f aca="false">$E$17</f>
        <v>0.705768539772589</v>
      </c>
    </row>
    <row r="87" customFormat="false" ht="15" hidden="false" customHeight="false" outlineLevel="0" collapsed="false">
      <c r="A87" s="20" t="s">
        <v>74</v>
      </c>
      <c r="B87" s="21" t="n">
        <f aca="false">$C$16+($C$15-$C$16)*13/30</f>
        <v>0.419617916666667</v>
      </c>
      <c r="C87" s="22" t="n">
        <f aca="false">$B$17*($C$16/B87)^B9</f>
        <v>697.095526313992</v>
      </c>
      <c r="D87" s="22" t="n">
        <f aca="false">C87*B87/B11</f>
        <v>1019.21175076492</v>
      </c>
      <c r="E87" s="21" t="n">
        <f aca="false">$E$17</f>
        <v>0.705768539772589</v>
      </c>
    </row>
    <row r="88" customFormat="false" ht="15" hidden="false" customHeight="false" outlineLevel="0" collapsed="false">
      <c r="A88" s="20" t="s">
        <v>74</v>
      </c>
      <c r="B88" s="21" t="n">
        <f aca="false">$C$16+($C$15-$C$16)*14/30</f>
        <v>0.443893333333333</v>
      </c>
      <c r="C88" s="22" t="n">
        <f aca="false">$B$17*($C$16/B88)^B9</f>
        <v>644.314428041068</v>
      </c>
      <c r="D88" s="22" t="n">
        <f aca="false">C88*B88/B11</f>
        <v>996.539648703519</v>
      </c>
      <c r="E88" s="21" t="n">
        <f aca="false">$E$17</f>
        <v>0.705768539772589</v>
      </c>
    </row>
    <row r="89" customFormat="false" ht="15" hidden="false" customHeight="false" outlineLevel="0" collapsed="false">
      <c r="A89" s="20" t="s">
        <v>74</v>
      </c>
      <c r="B89" s="21" t="n">
        <f aca="false">$C$16+($C$15-$C$16)*15/30</f>
        <v>0.46816875</v>
      </c>
      <c r="C89" s="22" t="n">
        <f aca="false">$B$17*($C$16/B89)^B9</f>
        <v>598.032158300111</v>
      </c>
      <c r="D89" s="22" t="n">
        <f aca="false">C89*B89/B11</f>
        <v>975.539958227056</v>
      </c>
      <c r="E89" s="21" t="n">
        <f aca="false">$E$17</f>
        <v>0.705768539772589</v>
      </c>
    </row>
    <row r="90" customFormat="false" ht="15" hidden="false" customHeight="false" outlineLevel="0" collapsed="false">
      <c r="A90" s="20" t="s">
        <v>74</v>
      </c>
      <c r="B90" s="21" t="n">
        <f aca="false">$C$16+($C$15-$C$16)*16/30</f>
        <v>0.492444166666667</v>
      </c>
      <c r="C90" s="22" t="n">
        <f aca="false">$B$17*($C$16/B90)^B9</f>
        <v>557.170522778312</v>
      </c>
      <c r="D90" s="22" t="n">
        <f aca="false">C90*B90/B11</f>
        <v>956.011755333787</v>
      </c>
      <c r="E90" s="21" t="n">
        <f aca="false">$E$17</f>
        <v>0.705768539772589</v>
      </c>
    </row>
    <row r="91" customFormat="false" ht="15" hidden="false" customHeight="false" outlineLevel="0" collapsed="false">
      <c r="A91" s="20" t="s">
        <v>74</v>
      </c>
      <c r="B91" s="21" t="n">
        <f aca="false">$C$16+($C$15-$C$16)*17/30</f>
        <v>0.516719583333333</v>
      </c>
      <c r="C91" s="22" t="n">
        <f aca="false">$B$17*($C$16/B91)^B9</f>
        <v>520.872031371958</v>
      </c>
      <c r="D91" s="22" t="n">
        <f aca="false">C91*B91/B11</f>
        <v>937.786686482596</v>
      </c>
      <c r="E91" s="21" t="n">
        <f aca="false">$E$17</f>
        <v>0.705768539772589</v>
      </c>
    </row>
    <row r="92" customFormat="false" ht="15" hidden="false" customHeight="false" outlineLevel="0" collapsed="false">
      <c r="A92" s="20" t="s">
        <v>74</v>
      </c>
      <c r="B92" s="21" t="n">
        <f aca="false">$C$16+($C$15-$C$16)*18/30</f>
        <v>0.540995</v>
      </c>
      <c r="C92" s="22" t="n">
        <f aca="false">$B$17*($C$16/B92)^B9</f>
        <v>488.446921061134</v>
      </c>
      <c r="D92" s="22" t="n">
        <f aca="false">C92*B92/B11</f>
        <v>920.722446200237</v>
      </c>
      <c r="E92" s="21" t="n">
        <f aca="false">$E$17</f>
        <v>0.705768539772589</v>
      </c>
    </row>
    <row r="93" customFormat="false" ht="15" hidden="false" customHeight="false" outlineLevel="0" collapsed="false">
      <c r="A93" s="20" t="s">
        <v>74</v>
      </c>
      <c r="B93" s="21" t="n">
        <f aca="false">$C$16+($C$15-$C$16)*19/30</f>
        <v>0.565270416666667</v>
      </c>
      <c r="C93" s="22" t="n">
        <f aca="false">$B$17*($C$16/B93)^B9</f>
        <v>459.334607849673</v>
      </c>
      <c r="D93" s="22" t="n">
        <f aca="false">C93*B93/B11</f>
        <v>904.697788043918</v>
      </c>
      <c r="E93" s="21" t="n">
        <f aca="false">$E$17</f>
        <v>0.705768539772589</v>
      </c>
    </row>
    <row r="94" customFormat="false" ht="15" hidden="false" customHeight="false" outlineLevel="0" collapsed="false">
      <c r="A94" s="20" t="s">
        <v>74</v>
      </c>
      <c r="B94" s="21" t="n">
        <f aca="false">$C$16+($C$15-$C$16)*20/30</f>
        <v>0.589545833333333</v>
      </c>
      <c r="C94" s="22" t="n">
        <f aca="false">$B$17*($C$16/B94)^B9</f>
        <v>433.075209480486</v>
      </c>
      <c r="D94" s="22" t="n">
        <f aca="false">C94*B94/B11</f>
        <v>889.608659474499</v>
      </c>
      <c r="E94" s="21" t="n">
        <f aca="false">$E$17</f>
        <v>0.705768539772589</v>
      </c>
    </row>
    <row r="95" customFormat="false" ht="15" hidden="false" customHeight="false" outlineLevel="0" collapsed="false">
      <c r="A95" s="20" t="s">
        <v>74</v>
      </c>
      <c r="B95" s="21" t="n">
        <f aca="false">$C$16+($C$15-$C$16)*21/30</f>
        <v>0.61382125</v>
      </c>
      <c r="C95" s="22" t="n">
        <f aca="false">$B$17*($C$16/B95)^B9</f>
        <v>409.288216274629</v>
      </c>
      <c r="D95" s="22" t="n">
        <f aca="false">C95*B95/B11</f>
        <v>875.365172557363</v>
      </c>
      <c r="E95" s="21" t="n">
        <f aca="false">$E$17</f>
        <v>0.705768539772589</v>
      </c>
    </row>
    <row r="96" customFormat="false" ht="15" hidden="false" customHeight="false" outlineLevel="0" collapsed="false">
      <c r="A96" s="20" t="s">
        <v>74</v>
      </c>
      <c r="B96" s="21" t="n">
        <f aca="false">$C$16+($C$15-$C$16)*22/30</f>
        <v>0.638096666666667</v>
      </c>
      <c r="C96" s="22" t="n">
        <f aca="false">$B$17*($C$16/B96)^B9</f>
        <v>387.65631387078</v>
      </c>
      <c r="D96" s="22" t="n">
        <f aca="false">C96*B96/B11</f>
        <v>861.889204506033</v>
      </c>
      <c r="E96" s="21" t="n">
        <f aca="false">$E$17</f>
        <v>0.705768539772589</v>
      </c>
    </row>
    <row r="97" customFormat="false" ht="15" hidden="false" customHeight="false" outlineLevel="0" collapsed="false">
      <c r="A97" s="20" t="s">
        <v>74</v>
      </c>
      <c r="B97" s="21" t="n">
        <f aca="false">$C$16+($C$15-$C$16)*23/30</f>
        <v>0.662372083333333</v>
      </c>
      <c r="C97" s="22" t="n">
        <f aca="false">$B$17*($C$16/B97)^B9</f>
        <v>367.912971412925</v>
      </c>
      <c r="D97" s="22" t="n">
        <f aca="false">C97*B97/B11</f>
        <v>849.112478606746</v>
      </c>
      <c r="E97" s="21" t="n">
        <f aca="false">$E$17</f>
        <v>0.705768539772589</v>
      </c>
    </row>
    <row r="98" customFormat="false" ht="15" hidden="false" customHeight="false" outlineLevel="0" collapsed="false">
      <c r="A98" s="20" t="s">
        <v>74</v>
      </c>
      <c r="B98" s="21" t="n">
        <f aca="false">$C$16+($C$15-$C$16)*24/30</f>
        <v>0.6866475</v>
      </c>
      <c r="C98" s="22" t="n">
        <f aca="false">$B$17*($C$16/B98)^B9</f>
        <v>349.832817390837</v>
      </c>
      <c r="D98" s="22" t="n">
        <f aca="false">C98*B98/B11</f>
        <v>836.975015607577</v>
      </c>
      <c r="E98" s="21" t="n">
        <f aca="false">$E$17</f>
        <v>0.705768539772589</v>
      </c>
    </row>
    <row r="99" customFormat="false" ht="15" hidden="false" customHeight="false" outlineLevel="0" collapsed="false">
      <c r="A99" s="20" t="s">
        <v>74</v>
      </c>
      <c r="B99" s="21" t="n">
        <f aca="false">$C$16+($C$15-$C$16)*25/30</f>
        <v>0.710922916666667</v>
      </c>
      <c r="C99" s="22" t="n">
        <f aca="false">$B$17*($C$16/B99)^B9</f>
        <v>333.224103777996</v>
      </c>
      <c r="D99" s="22" t="n">
        <f aca="false">C99*B99/B11</f>
        <v>825.42387373341</v>
      </c>
      <c r="E99" s="21" t="n">
        <f aca="false">$E$17</f>
        <v>0.705768539772589</v>
      </c>
    </row>
    <row r="100" customFormat="false" ht="15" hidden="false" customHeight="false" outlineLevel="0" collapsed="false">
      <c r="A100" s="20" t="s">
        <v>74</v>
      </c>
      <c r="B100" s="21" t="n">
        <f aca="false">$C$16+($C$15-$C$16)*26/30</f>
        <v>0.735198333333333</v>
      </c>
      <c r="C100" s="22" t="n">
        <f aca="false">$B$17*($C$16/B100)^B9</f>
        <v>317.922751735341</v>
      </c>
      <c r="D100" s="22" t="n">
        <f aca="false">C100*B100/B11</f>
        <v>814.412115695366</v>
      </c>
      <c r="E100" s="21" t="n">
        <f aca="false">$E$17</f>
        <v>0.705768539772589</v>
      </c>
    </row>
    <row r="101" customFormat="false" ht="15" hidden="false" customHeight="false" outlineLevel="0" collapsed="false">
      <c r="A101" s="20" t="s">
        <v>74</v>
      </c>
      <c r="B101" s="21" t="n">
        <f aca="false">$C$16+($C$15-$C$16)*27/30</f>
        <v>0.75947375</v>
      </c>
      <c r="C101" s="22" t="n">
        <f aca="false">$B$17*($C$16/B101)^B9</f>
        <v>303.78760728935</v>
      </c>
      <c r="D101" s="22" t="n">
        <f aca="false">C101*B101/B11</f>
        <v>803.897955789442</v>
      </c>
      <c r="E101" s="21" t="n">
        <f aca="false">$E$17</f>
        <v>0.705768539772589</v>
      </c>
    </row>
    <row r="102" customFormat="false" ht="15" hidden="false" customHeight="false" outlineLevel="0" collapsed="false">
      <c r="A102" s="20" t="s">
        <v>74</v>
      </c>
      <c r="B102" s="21" t="n">
        <f aca="false">$C$16+($C$15-$C$16)*28/30</f>
        <v>0.783749166666667</v>
      </c>
      <c r="C102" s="22" t="n">
        <f aca="false">$B$17*($C$16/B102)^B9</f>
        <v>290.69663144434</v>
      </c>
      <c r="D102" s="22" t="n">
        <f aca="false">C102*B102/B11</f>
        <v>793.844051035918</v>
      </c>
      <c r="E102" s="21" t="n">
        <f aca="false">$E$17</f>
        <v>0.705768539772589</v>
      </c>
    </row>
    <row r="103" customFormat="false" ht="15" hidden="false" customHeight="false" outlineLevel="0" collapsed="false">
      <c r="A103" s="20" t="s">
        <v>74</v>
      </c>
      <c r="B103" s="21" t="n">
        <f aca="false">$C$16+($C$15-$C$16)*29/30</f>
        <v>0.808024583333333</v>
      </c>
      <c r="C103" s="22" t="n">
        <f aca="false">$B$17*($C$16/B103)^B9</f>
        <v>278.543818286806</v>
      </c>
      <c r="D103" s="22" t="n">
        <f aca="false">C103*B103/B11</f>
        <v>784.216908401645</v>
      </c>
      <c r="E103" s="21" t="n">
        <f aca="false">$E$17</f>
        <v>0.705768539772589</v>
      </c>
    </row>
    <row r="104" customFormat="false" ht="15" hidden="false" customHeight="false" outlineLevel="0" collapsed="false">
      <c r="A104" s="20" t="s">
        <v>74</v>
      </c>
      <c r="B104" s="21" t="n">
        <f aca="false">$C$16+($C$15-$C$16)*30/30</f>
        <v>0.8323</v>
      </c>
      <c r="C104" s="22" t="n">
        <f aca="false">$B$17*($C$16/B104)^B9</f>
        <v>267.236684909447</v>
      </c>
      <c r="D104" s="22" t="n">
        <f aca="false">C104*B104/B11</f>
        <v>774.986386237395</v>
      </c>
      <c r="E104" s="21" t="n">
        <f aca="false">$E$17</f>
        <v>0.705768539772589</v>
      </c>
    </row>
    <row r="105" customFormat="false" ht="15" hidden="false" customHeight="false" outlineLevel="0" collapsed="false">
      <c r="A105" s="20" t="s">
        <v>75</v>
      </c>
      <c r="B105" s="21" t="n">
        <f aca="false">$C$15</f>
        <v>0.8323</v>
      </c>
      <c r="C105" s="22" t="n">
        <f aca="false">D105*B11/B105</f>
        <v>267.236684909447</v>
      </c>
      <c r="D105" s="22" t="n">
        <f aca="false">$D$18+($D$15-$D$18)*0/10</f>
        <v>774.986386237395</v>
      </c>
      <c r="E105" s="21" t="n">
        <f aca="false">$E$18+B10*LN(D105/$D$18)</f>
        <v>0.705768539772589</v>
      </c>
    </row>
    <row r="106" customFormat="false" ht="15" hidden="false" customHeight="false" outlineLevel="0" collapsed="false">
      <c r="A106" s="20" t="s">
        <v>75</v>
      </c>
      <c r="B106" s="21" t="n">
        <f aca="false">$C$15</f>
        <v>0.8323</v>
      </c>
      <c r="C106" s="22" t="n">
        <f aca="false">D106*B11/B106</f>
        <v>250.513016418502</v>
      </c>
      <c r="D106" s="22" t="n">
        <f aca="false">$D$18+($D$15-$D$18)*1/10</f>
        <v>726.487747613656</v>
      </c>
      <c r="E106" s="21" t="n">
        <f aca="false">$E$18+B10*LN(D106/$D$18)</f>
        <v>0.659368618965032</v>
      </c>
    </row>
    <row r="107" customFormat="false" ht="15" hidden="false" customHeight="false" outlineLevel="0" collapsed="false">
      <c r="A107" s="20" t="s">
        <v>75</v>
      </c>
      <c r="B107" s="21" t="n">
        <f aca="false">$C$15</f>
        <v>0.8323</v>
      </c>
      <c r="C107" s="22" t="n">
        <f aca="false">D107*B11/B107</f>
        <v>233.789347927557</v>
      </c>
      <c r="D107" s="22" t="n">
        <f aca="false">$D$18+($D$15-$D$18)*2/10</f>
        <v>677.989108989916</v>
      </c>
      <c r="E107" s="21" t="n">
        <f aca="false">$E$18+B10*LN(D107/$D$18)</f>
        <v>0.609761716401004</v>
      </c>
    </row>
    <row r="108" customFormat="false" ht="15" hidden="false" customHeight="false" outlineLevel="0" collapsed="false">
      <c r="A108" s="20" t="s">
        <v>75</v>
      </c>
      <c r="B108" s="21" t="n">
        <f aca="false">$C$15</f>
        <v>0.8323</v>
      </c>
      <c r="C108" s="22" t="n">
        <f aca="false">D108*B11/B108</f>
        <v>217.065679436613</v>
      </c>
      <c r="D108" s="22" t="n">
        <f aca="false">$D$18+($D$15-$D$18)*3/10</f>
        <v>629.490470366177</v>
      </c>
      <c r="E108" s="21" t="n">
        <f aca="false">$E$18+B10*LN(D108/$D$18)</f>
        <v>0.556471390635741</v>
      </c>
    </row>
    <row r="109" customFormat="false" ht="15" hidden="false" customHeight="false" outlineLevel="0" collapsed="false">
      <c r="A109" s="20" t="s">
        <v>75</v>
      </c>
      <c r="B109" s="21" t="n">
        <f aca="false">$C$15</f>
        <v>0.8323</v>
      </c>
      <c r="C109" s="22" t="n">
        <f aca="false">D109*B11/B109</f>
        <v>200.342010945668</v>
      </c>
      <c r="D109" s="22" t="n">
        <f aca="false">$D$18+($D$15-$D$18)*4/10</f>
        <v>580.991831742437</v>
      </c>
      <c r="E109" s="21" t="n">
        <f aca="false">$E$18+B10*LN(D109/$D$18)</f>
        <v>0.498906446313192</v>
      </c>
    </row>
    <row r="110" customFormat="false" ht="15" hidden="false" customHeight="false" outlineLevel="0" collapsed="false">
      <c r="A110" s="20" t="s">
        <v>75</v>
      </c>
      <c r="B110" s="21" t="n">
        <f aca="false">$C$15</f>
        <v>0.8323</v>
      </c>
      <c r="C110" s="22" t="n">
        <f aca="false">D110*B11/B110</f>
        <v>183.618342454723</v>
      </c>
      <c r="D110" s="22" t="n">
        <f aca="false">$D$18+($D$15-$D$18)*5/10</f>
        <v>532.493193118698</v>
      </c>
      <c r="E110" s="21" t="n">
        <f aca="false">$E$18+B10*LN(D110/$D$18)</f>
        <v>0.436320839601593</v>
      </c>
    </row>
    <row r="111" customFormat="false" ht="15" hidden="false" customHeight="false" outlineLevel="0" collapsed="false">
      <c r="A111" s="20" t="s">
        <v>75</v>
      </c>
      <c r="B111" s="21" t="n">
        <f aca="false">$C$15</f>
        <v>0.8323</v>
      </c>
      <c r="C111" s="22" t="n">
        <f aca="false">D111*B11/B111</f>
        <v>166.894673963779</v>
      </c>
      <c r="D111" s="22" t="n">
        <f aca="false">$D$18+($D$15-$D$18)*6/10</f>
        <v>483.994554494958</v>
      </c>
      <c r="E111" s="21" t="n">
        <f aca="false">$E$18+B10*LN(D111/$D$18)</f>
        <v>0.367754382027869</v>
      </c>
    </row>
    <row r="112" customFormat="false" ht="15" hidden="false" customHeight="false" outlineLevel="0" collapsed="false">
      <c r="A112" s="20" t="s">
        <v>75</v>
      </c>
      <c r="B112" s="21" t="n">
        <f aca="false">$C$15</f>
        <v>0.8323</v>
      </c>
      <c r="C112" s="22" t="n">
        <f aca="false">D112*B11/B112</f>
        <v>150.171005472834</v>
      </c>
      <c r="D112" s="22" t="n">
        <f aca="false">$D$18+($D$15-$D$18)*7/10</f>
        <v>435.495915871219</v>
      </c>
      <c r="E112" s="21" t="n">
        <f aca="false">$E$18+B10*LN(D112/$D$18)</f>
        <v>0.291942027586343</v>
      </c>
    </row>
    <row r="113" customFormat="false" ht="15" hidden="false" customHeight="false" outlineLevel="0" collapsed="false">
      <c r="A113" s="20" t="s">
        <v>75</v>
      </c>
      <c r="B113" s="21" t="n">
        <f aca="false">$C$15</f>
        <v>0.8323</v>
      </c>
      <c r="C113" s="22" t="n">
        <f aca="false">D113*B11/B113</f>
        <v>133.447336981889</v>
      </c>
      <c r="D113" s="22" t="n">
        <f aca="false">$D$18+($D$15-$D$18)*8/10</f>
        <v>386.997277247479</v>
      </c>
      <c r="E113" s="21" t="n">
        <f aca="false">$E$18+B10*LN(D113/$D$18)</f>
        <v>0.207169375362587</v>
      </c>
    </row>
    <row r="114" customFormat="false" ht="15" hidden="false" customHeight="false" outlineLevel="0" collapsed="false">
      <c r="A114" s="20" t="s">
        <v>75</v>
      </c>
      <c r="B114" s="21" t="n">
        <f aca="false">$C$15</f>
        <v>0.8323</v>
      </c>
      <c r="C114" s="22" t="n">
        <f aca="false">D114*B11/B114</f>
        <v>116.723668490945</v>
      </c>
      <c r="D114" s="22" t="n">
        <f aca="false">$D$18+($D$15-$D$18)*9/10</f>
        <v>338.49863862374</v>
      </c>
      <c r="E114" s="21" t="n">
        <f aca="false">$E$18+B10*LN(D114/$D$18)</f>
        <v>0.1110309079572</v>
      </c>
    </row>
    <row r="115" customFormat="false" ht="15" hidden="false" customHeight="false" outlineLevel="0" collapsed="false">
      <c r="A115" s="20" t="s">
        <v>75</v>
      </c>
      <c r="B115" s="21" t="n">
        <f aca="false">$C$15</f>
        <v>0.8323</v>
      </c>
      <c r="C115" s="22" t="n">
        <f aca="false">D115*B11/B115</f>
        <v>100</v>
      </c>
      <c r="D115" s="22" t="n">
        <f aca="false">$D$18+($D$15-$D$18)*10/10</f>
        <v>290</v>
      </c>
      <c r="E115" s="21" t="n">
        <f aca="false">$E$18+B10*LN(D115/$D$18)</f>
        <v>0</v>
      </c>
    </row>
  </sheetData>
  <mergeCells count="1">
    <mergeCell ref="E5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572E"/>
    <pageSetUpPr fitToPage="true"/>
  </sheetPr>
  <dimension ref="A1:E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15" hidden="false" customHeight="false" outlineLevel="0" collapsed="false">
      <c r="A4" s="6" t="s">
        <v>35</v>
      </c>
    </row>
    <row r="5" customFormat="false" ht="15" hidden="false" customHeight="false" outlineLevel="0" collapsed="false">
      <c r="A5" s="11" t="s">
        <v>36</v>
      </c>
      <c r="B5" s="8" t="n">
        <v>95</v>
      </c>
      <c r="C5" s="11" t="s">
        <v>37</v>
      </c>
      <c r="D5" s="2" t="s">
        <v>78</v>
      </c>
    </row>
    <row r="6" customFormat="false" ht="15" hidden="false" customHeight="false" outlineLevel="0" collapsed="false">
      <c r="A6" s="11" t="s">
        <v>40</v>
      </c>
      <c r="B6" s="8" t="n">
        <v>300</v>
      </c>
      <c r="C6" s="11" t="s">
        <v>41</v>
      </c>
    </row>
    <row r="7" customFormat="false" ht="15" hidden="false" customHeight="false" outlineLevel="0" collapsed="false">
      <c r="A7" s="11" t="s">
        <v>43</v>
      </c>
      <c r="B7" s="8" t="n">
        <v>18</v>
      </c>
      <c r="C7" s="11" t="s">
        <v>44</v>
      </c>
      <c r="D7" s="2" t="s">
        <v>79</v>
      </c>
    </row>
    <row r="8" customFormat="false" ht="15" hidden="false" customHeight="false" outlineLevel="0" collapsed="false">
      <c r="A8" s="11" t="s">
        <v>80</v>
      </c>
      <c r="B8" s="8" t="n">
        <v>2</v>
      </c>
      <c r="C8" s="11" t="s">
        <v>44</v>
      </c>
      <c r="D8" s="2" t="s">
        <v>81</v>
      </c>
    </row>
    <row r="9" customFormat="false" ht="15" hidden="false" customHeight="false" outlineLevel="0" collapsed="false">
      <c r="A9" s="11" t="s">
        <v>49</v>
      </c>
      <c r="B9" s="8" t="n">
        <v>1.4</v>
      </c>
      <c r="C9" s="11" t="s">
        <v>44</v>
      </c>
    </row>
    <row r="10" customFormat="false" ht="15" hidden="false" customHeight="false" outlineLevel="0" collapsed="false">
      <c r="A10" s="11" t="s">
        <v>50</v>
      </c>
      <c r="B10" s="8" t="n">
        <v>0.718</v>
      </c>
      <c r="C10" s="11" t="s">
        <v>51</v>
      </c>
    </row>
    <row r="11" customFormat="false" ht="15" hidden="false" customHeight="false" outlineLevel="0" collapsed="false">
      <c r="A11" s="11" t="s">
        <v>82</v>
      </c>
      <c r="B11" s="8" t="n">
        <v>1.005</v>
      </c>
      <c r="C11" s="11" t="s">
        <v>51</v>
      </c>
    </row>
    <row r="12" customFormat="false" ht="15" hidden="false" customHeight="false" outlineLevel="0" collapsed="false">
      <c r="A12" s="11" t="s">
        <v>52</v>
      </c>
      <c r="B12" s="8" t="n">
        <v>0.287</v>
      </c>
      <c r="C12" s="11" t="s">
        <v>51</v>
      </c>
    </row>
    <row r="14" customFormat="false" ht="15" hidden="false" customHeight="false" outlineLevel="0" collapsed="false">
      <c r="A14" s="6" t="s">
        <v>53</v>
      </c>
    </row>
    <row r="15" customFormat="false" ht="15" hidden="false" customHeight="false" outlineLevel="0" collapsed="false">
      <c r="A15" s="13" t="s">
        <v>54</v>
      </c>
      <c r="B15" s="13" t="s">
        <v>55</v>
      </c>
      <c r="C15" s="13" t="s">
        <v>56</v>
      </c>
      <c r="D15" s="13" t="s">
        <v>57</v>
      </c>
      <c r="E15" s="13" t="s">
        <v>58</v>
      </c>
    </row>
    <row r="16" customFormat="false" ht="15" hidden="false" customHeight="false" outlineLevel="0" collapsed="false">
      <c r="A16" s="14" t="n">
        <v>1</v>
      </c>
      <c r="B16" s="15" t="n">
        <f aca="false">B5</f>
        <v>95</v>
      </c>
      <c r="C16" s="16" t="n">
        <f aca="false">B12*B6/B5</f>
        <v>0.906315789473684</v>
      </c>
      <c r="D16" s="15" t="n">
        <f aca="false">B6</f>
        <v>300</v>
      </c>
      <c r="E16" s="16" t="n">
        <f aca="false">0</f>
        <v>0</v>
      </c>
    </row>
    <row r="17" customFormat="false" ht="15" hidden="false" customHeight="false" outlineLevel="0" collapsed="false">
      <c r="A17" s="14" t="n">
        <v>2</v>
      </c>
      <c r="B17" s="15" t="n">
        <f aca="false">B5*B7^B9</f>
        <v>5433.81830458041</v>
      </c>
      <c r="C17" s="16" t="n">
        <f aca="false">C16/B7</f>
        <v>0.0503508771929825</v>
      </c>
      <c r="D17" s="15" t="n">
        <f aca="false">B6*B7^(B9-1)</f>
        <v>953.301456943931</v>
      </c>
      <c r="E17" s="16" t="n">
        <f aca="false">0</f>
        <v>0</v>
      </c>
    </row>
    <row r="18" customFormat="false" ht="15" hidden="false" customHeight="false" outlineLevel="0" collapsed="false">
      <c r="A18" s="14" t="n">
        <v>3</v>
      </c>
      <c r="B18" s="15" t="n">
        <f aca="false">B17</f>
        <v>5433.81830458041</v>
      </c>
      <c r="C18" s="16" t="n">
        <f aca="false">C17*B8</f>
        <v>0.100701754385965</v>
      </c>
      <c r="D18" s="15" t="n">
        <f aca="false">D17*B8</f>
        <v>1906.60291388786</v>
      </c>
      <c r="E18" s="16" t="n">
        <f aca="false">B11*LN(D18/D17)</f>
        <v>0.696612916462745</v>
      </c>
    </row>
    <row r="19" customFormat="false" ht="15" hidden="false" customHeight="false" outlineLevel="0" collapsed="false">
      <c r="A19" s="14" t="n">
        <v>4</v>
      </c>
      <c r="B19" s="15" t="n">
        <f aca="false">B18*(C18/C16)^B9</f>
        <v>250.70650304685</v>
      </c>
      <c r="C19" s="16" t="n">
        <f aca="false">C16</f>
        <v>0.906315789473684</v>
      </c>
      <c r="D19" s="15" t="n">
        <f aca="false">D18*(C18/C16)^(B9-1)</f>
        <v>791.704746463737</v>
      </c>
      <c r="E19" s="16" t="n">
        <f aca="false">E18</f>
        <v>0.696612916462745</v>
      </c>
    </row>
    <row r="21" customFormat="false" ht="15" hidden="false" customHeight="false" outlineLevel="0" collapsed="false">
      <c r="A21" s="6" t="s">
        <v>59</v>
      </c>
    </row>
    <row r="22" customFormat="false" ht="15" hidden="false" customHeight="false" outlineLevel="0" collapsed="false">
      <c r="A22" s="11" t="s">
        <v>46</v>
      </c>
      <c r="B22" s="17" t="n">
        <f aca="false">B11*(D18-D17)</f>
        <v>958.06796422865</v>
      </c>
      <c r="C22" s="11" t="s">
        <v>47</v>
      </c>
    </row>
    <row r="23" customFormat="false" ht="15" hidden="false" customHeight="false" outlineLevel="0" collapsed="false">
      <c r="A23" s="11" t="s">
        <v>60</v>
      </c>
      <c r="B23" s="17" t="n">
        <f aca="false">B10*(D19-D16)</f>
        <v>353.044007960963</v>
      </c>
      <c r="C23" s="11" t="s">
        <v>47</v>
      </c>
    </row>
    <row r="24" customFormat="false" ht="15" hidden="false" customHeight="false" outlineLevel="0" collapsed="false">
      <c r="A24" s="11" t="s">
        <v>61</v>
      </c>
      <c r="B24" s="17" t="n">
        <f aca="false">B22-B23</f>
        <v>605.023956267688</v>
      </c>
      <c r="C24" s="11" t="s">
        <v>47</v>
      </c>
    </row>
    <row r="25" customFormat="false" ht="15" hidden="false" customHeight="false" outlineLevel="0" collapsed="false">
      <c r="A25" s="11" t="s">
        <v>62</v>
      </c>
      <c r="B25" s="18" t="n">
        <f aca="false">B24/B22</f>
        <v>0.631504213539588</v>
      </c>
      <c r="C25" s="11" t="s">
        <v>44</v>
      </c>
    </row>
    <row r="26" customFormat="false" ht="15" hidden="false" customHeight="false" outlineLevel="0" collapsed="false">
      <c r="A26" s="11" t="s">
        <v>83</v>
      </c>
      <c r="B26" s="18" t="n">
        <f aca="false">1-(B8^B9-1)/(B9*(B8-1)*B7^(B9-1))</f>
        <v>0.631577531443778</v>
      </c>
      <c r="C26" s="11" t="s">
        <v>44</v>
      </c>
    </row>
    <row r="27" customFormat="false" ht="15" hidden="false" customHeight="false" outlineLevel="0" collapsed="false">
      <c r="A27" s="11" t="s">
        <v>84</v>
      </c>
      <c r="B27" s="18" t="n">
        <f aca="false">1-1/B7^(B9-1)</f>
        <v>0.685304162901699</v>
      </c>
      <c r="C27" s="11" t="s">
        <v>44</v>
      </c>
    </row>
    <row r="28" customFormat="false" ht="15" hidden="false" customHeight="false" outlineLevel="0" collapsed="false">
      <c r="A28" s="11" t="s">
        <v>85</v>
      </c>
      <c r="B28" s="17" t="n">
        <f aca="false">B17/100</f>
        <v>54.3381830458041</v>
      </c>
      <c r="C28" s="11" t="s">
        <v>65</v>
      </c>
    </row>
    <row r="29" customFormat="false" ht="15" hidden="false" customHeight="false" outlineLevel="0" collapsed="false">
      <c r="A29" s="11" t="s">
        <v>66</v>
      </c>
      <c r="B29" s="17" t="n">
        <f aca="false">B24/(C16-C17)</f>
        <v>706.83266052999</v>
      </c>
      <c r="C29" s="11" t="s">
        <v>37</v>
      </c>
    </row>
    <row r="31" customFormat="false" ht="15" hidden="false" customHeight="false" outlineLevel="0" collapsed="false">
      <c r="A31" s="2" t="s">
        <v>86</v>
      </c>
    </row>
    <row r="33" customFormat="false" ht="15" hidden="false" customHeight="false" outlineLevel="0" collapsed="false">
      <c r="A33" s="6" t="s">
        <v>69</v>
      </c>
    </row>
    <row r="34" customFormat="false" ht="15" hidden="false" customHeight="false" outlineLevel="0" collapsed="false">
      <c r="A34" s="13" t="s">
        <v>70</v>
      </c>
      <c r="B34" s="13" t="s">
        <v>56</v>
      </c>
      <c r="C34" s="13" t="s">
        <v>55</v>
      </c>
      <c r="D34" s="13" t="s">
        <v>57</v>
      </c>
      <c r="E34" s="13" t="s">
        <v>71</v>
      </c>
    </row>
    <row r="35" customFormat="false" ht="15" hidden="false" customHeight="false" outlineLevel="0" collapsed="false">
      <c r="A35" s="20" t="s">
        <v>72</v>
      </c>
      <c r="B35" s="21" t="n">
        <f aca="false">$C$16-($C$16-$C$17)*0/30</f>
        <v>0.906315789473684</v>
      </c>
      <c r="C35" s="22" t="n">
        <f aca="false">$B$16*($C$16/B35)^B9</f>
        <v>95</v>
      </c>
      <c r="D35" s="22" t="n">
        <f aca="false">C35*B35/B12</f>
        <v>300</v>
      </c>
      <c r="E35" s="21" t="n">
        <f aca="false">0</f>
        <v>0</v>
      </c>
    </row>
    <row r="36" customFormat="false" ht="15" hidden="false" customHeight="false" outlineLevel="0" collapsed="false">
      <c r="A36" s="20" t="s">
        <v>72</v>
      </c>
      <c r="B36" s="21" t="n">
        <f aca="false">$C$16-($C$16-$C$17)*1/30</f>
        <v>0.877783625730994</v>
      </c>
      <c r="C36" s="22" t="n">
        <f aca="false">$B$16*($C$16/B36)^B9</f>
        <v>99.35105990061</v>
      </c>
      <c r="D36" s="22" t="n">
        <f aca="false">C36*B36/B12</f>
        <v>303.86318320479</v>
      </c>
      <c r="E36" s="21" t="n">
        <f aca="false">0</f>
        <v>0</v>
      </c>
    </row>
    <row r="37" customFormat="false" ht="15" hidden="false" customHeight="false" outlineLevel="0" collapsed="false">
      <c r="A37" s="20" t="s">
        <v>72</v>
      </c>
      <c r="B37" s="21" t="n">
        <f aca="false">$C$16-($C$16-$C$17)*2/30</f>
        <v>0.849251461988304</v>
      </c>
      <c r="C37" s="22" t="n">
        <f aca="false">$B$16*($C$16/B37)^B9</f>
        <v>104.055285576672</v>
      </c>
      <c r="D37" s="22" t="n">
        <f aca="false">C37*B37/B12</f>
        <v>307.906283636233</v>
      </c>
      <c r="E37" s="21" t="n">
        <f aca="false">0</f>
        <v>0</v>
      </c>
    </row>
    <row r="38" customFormat="false" ht="15" hidden="false" customHeight="false" outlineLevel="0" collapsed="false">
      <c r="A38" s="20" t="s">
        <v>72</v>
      </c>
      <c r="B38" s="21" t="n">
        <f aca="false">$C$16-($C$16-$C$17)*3/30</f>
        <v>0.820719298245614</v>
      </c>
      <c r="C38" s="22" t="n">
        <f aca="false">$B$16*($C$16/B38)^B9</f>
        <v>109.154706509911</v>
      </c>
      <c r="D38" s="22" t="n">
        <f aca="false">C38*B38/B12</f>
        <v>312.144160721325</v>
      </c>
      <c r="E38" s="21" t="n">
        <f aca="false">0</f>
        <v>0</v>
      </c>
    </row>
    <row r="39" customFormat="false" ht="15" hidden="false" customHeight="false" outlineLevel="0" collapsed="false">
      <c r="A39" s="20" t="s">
        <v>72</v>
      </c>
      <c r="B39" s="21" t="n">
        <f aca="false">$C$16-($C$16-$C$17)*4/30</f>
        <v>0.792187134502924</v>
      </c>
      <c r="C39" s="22" t="n">
        <f aca="false">$B$16*($C$16/B39)^B9</f>
        <v>114.698059639619</v>
      </c>
      <c r="D39" s="22" t="n">
        <f aca="false">C39*B39/B12</f>
        <v>316.593474560821</v>
      </c>
      <c r="E39" s="21" t="n">
        <f aca="false">0</f>
        <v>0</v>
      </c>
    </row>
    <row r="40" customFormat="false" ht="15" hidden="false" customHeight="false" outlineLevel="0" collapsed="false">
      <c r="A40" s="20" t="s">
        <v>72</v>
      </c>
      <c r="B40" s="21" t="n">
        <f aca="false">$C$16-($C$16-$C$17)*5/30</f>
        <v>0.763654970760234</v>
      </c>
      <c r="C40" s="22" t="n">
        <f aca="false">$B$16*($C$16/B40)^B9</f>
        <v>120.742152461136</v>
      </c>
      <c r="D40" s="22" t="n">
        <f aca="false">C40*B40/B12</f>
        <v>321.27297877086</v>
      </c>
      <c r="E40" s="21" t="n">
        <f aca="false">0</f>
        <v>0</v>
      </c>
    </row>
    <row r="41" customFormat="false" ht="15" hidden="false" customHeight="false" outlineLevel="0" collapsed="false">
      <c r="A41" s="20" t="s">
        <v>72</v>
      </c>
      <c r="B41" s="21" t="n">
        <f aca="false">$C$16-($C$16-$C$17)*6/30</f>
        <v>0.735122807017544</v>
      </c>
      <c r="C41" s="22" t="n">
        <f aca="false">$B$16*($C$16/B41)^B9</f>
        <v>127.353567254593</v>
      </c>
      <c r="D41" s="22" t="n">
        <f aca="false">C41*B41/B12</f>
        <v>326.203874020537</v>
      </c>
      <c r="E41" s="21" t="n">
        <f aca="false">0</f>
        <v>0</v>
      </c>
    </row>
    <row r="42" customFormat="false" ht="15" hidden="false" customHeight="false" outlineLevel="0" collapsed="false">
      <c r="A42" s="20" t="s">
        <v>72</v>
      </c>
      <c r="B42" s="21" t="n">
        <f aca="false">$C$16-($C$16-$C$17)*7/30</f>
        <v>0.706590643274854</v>
      </c>
      <c r="C42" s="22" t="n">
        <f aca="false">$B$16*($C$16/B42)^B9</f>
        <v>134.610809166141</v>
      </c>
      <c r="D42" s="22" t="n">
        <f aca="false">C42*B42/B12</f>
        <v>331.410237771609</v>
      </c>
      <c r="E42" s="21" t="n">
        <f aca="false">0</f>
        <v>0</v>
      </c>
    </row>
    <row r="43" customFormat="false" ht="15" hidden="false" customHeight="false" outlineLevel="0" collapsed="false">
      <c r="A43" s="20" t="s">
        <v>72</v>
      </c>
      <c r="B43" s="21" t="n">
        <f aca="false">$C$16-($C$16-$C$17)*8/30</f>
        <v>0.678058479532164</v>
      </c>
      <c r="C43" s="22" t="n">
        <f aca="false">$B$16*($C$16/B43)^B9</f>
        <v>142.607037463168</v>
      </c>
      <c r="D43" s="22" t="n">
        <f aca="false">C43*B43/B12</f>
        <v>336.919550497776</v>
      </c>
      <c r="E43" s="21" t="n">
        <f aca="false">0</f>
        <v>0</v>
      </c>
    </row>
    <row r="44" customFormat="false" ht="15" hidden="false" customHeight="false" outlineLevel="0" collapsed="false">
      <c r="A44" s="20" t="s">
        <v>72</v>
      </c>
      <c r="B44" s="21" t="n">
        <f aca="false">$C$16-($C$16-$C$17)*9/30</f>
        <v>0.649526315789474</v>
      </c>
      <c r="C44" s="22" t="n">
        <f aca="false">$B$16*($C$16/B44)^B9</f>
        <v>151.453571122127</v>
      </c>
      <c r="D44" s="22" t="n">
        <f aca="false">C44*B44/B12</f>
        <v>342.763345171129</v>
      </c>
      <c r="E44" s="21" t="n">
        <f aca="false">0</f>
        <v>0</v>
      </c>
    </row>
    <row r="45" customFormat="false" ht="15" hidden="false" customHeight="false" outlineLevel="0" collapsed="false">
      <c r="A45" s="20" t="s">
        <v>72</v>
      </c>
      <c r="B45" s="21" t="n">
        <f aca="false">$C$16-($C$16-$C$17)*10/30</f>
        <v>0.620994152046784</v>
      </c>
      <c r="C45" s="22" t="n">
        <f aca="false">$B$16*($C$16/B45)^B9</f>
        <v>161.284434326439</v>
      </c>
      <c r="D45" s="22" t="n">
        <f aca="false">C45*B45/B12</f>
        <v>348.97801579405</v>
      </c>
      <c r="E45" s="21" t="n">
        <f aca="false">0</f>
        <v>0</v>
      </c>
    </row>
    <row r="46" customFormat="false" ht="15" hidden="false" customHeight="false" outlineLevel="0" collapsed="false">
      <c r="A46" s="20" t="s">
        <v>72</v>
      </c>
      <c r="B46" s="21" t="n">
        <f aca="false">$C$16-($C$16-$C$17)*11/30</f>
        <v>0.592461988304094</v>
      </c>
      <c r="C46" s="22" t="n">
        <f aca="false">$B$16*($C$16/B46)^B9</f>
        <v>172.262315864287</v>
      </c>
      <c r="D46" s="22" t="n">
        <f aca="false">C46*B46/B12</f>
        <v>355.605833333879</v>
      </c>
      <c r="E46" s="21" t="n">
        <f aca="false">0</f>
        <v>0</v>
      </c>
    </row>
    <row r="47" customFormat="false" ht="15" hidden="false" customHeight="false" outlineLevel="0" collapsed="false">
      <c r="A47" s="20" t="s">
        <v>72</v>
      </c>
      <c r="B47" s="21" t="n">
        <f aca="false">$C$16-($C$16-$C$17)*12/30</f>
        <v>0.563929824561404</v>
      </c>
      <c r="C47" s="22" t="n">
        <f aca="false">$B$16*($C$16/B47)^B9</f>
        <v>184.586476877482</v>
      </c>
      <c r="D47" s="22" t="n">
        <f aca="false">C47*B47/B12</f>
        <v>362.696235268034</v>
      </c>
      <c r="E47" s="21" t="n">
        <f aca="false">0</f>
        <v>0</v>
      </c>
    </row>
    <row r="48" customFormat="false" ht="15" hidden="false" customHeight="false" outlineLevel="0" collapsed="false">
      <c r="A48" s="20" t="s">
        <v>72</v>
      </c>
      <c r="B48" s="21" t="n">
        <f aca="false">$C$16-($C$16-$C$17)*13/30</f>
        <v>0.535397660818713</v>
      </c>
      <c r="C48" s="22" t="n">
        <f aca="false">$B$16*($C$16/B48)^B9</f>
        <v>198.503383055627</v>
      </c>
      <c r="D48" s="22" t="n">
        <f aca="false">C48*B48/B12</f>
        <v>370.307480671023</v>
      </c>
      <c r="E48" s="21" t="n">
        <f aca="false">0</f>
        <v>0</v>
      </c>
    </row>
    <row r="49" customFormat="false" ht="15" hidden="false" customHeight="false" outlineLevel="0" collapsed="false">
      <c r="A49" s="20" t="s">
        <v>72</v>
      </c>
      <c r="B49" s="21" t="n">
        <f aca="false">$C$16-($C$16-$C$17)*14/30</f>
        <v>0.506865497076023</v>
      </c>
      <c r="C49" s="22" t="n">
        <f aca="false">$B$16*($C$16/B49)^B9</f>
        <v>214.321208215478</v>
      </c>
      <c r="D49" s="22" t="n">
        <f aca="false">C49*B49/B12</f>
        <v>378.508800474119</v>
      </c>
      <c r="E49" s="21" t="n">
        <f aca="false">0</f>
        <v>0</v>
      </c>
    </row>
    <row r="50" customFormat="false" ht="15" hidden="false" customHeight="false" outlineLevel="0" collapsed="false">
      <c r="A50" s="20" t="s">
        <v>72</v>
      </c>
      <c r="B50" s="21" t="n">
        <f aca="false">$C$16-($C$16-$C$17)*15/30</f>
        <v>0.478333333333333</v>
      </c>
      <c r="C50" s="22" t="n">
        <f aca="false">$B$16*($C$16/B50)^B9</f>
        <v>232.429937285686</v>
      </c>
      <c r="D50" s="22" t="n">
        <f aca="false">C50*B50/B12</f>
        <v>387.383228809477</v>
      </c>
      <c r="E50" s="21" t="n">
        <f aca="false">0</f>
        <v>0</v>
      </c>
    </row>
    <row r="51" customFormat="false" ht="15" hidden="false" customHeight="false" outlineLevel="0" collapsed="false">
      <c r="A51" s="20" t="s">
        <v>72</v>
      </c>
      <c r="B51" s="21" t="n">
        <f aca="false">$C$16-($C$16-$C$17)*16/30</f>
        <v>0.449801169590643</v>
      </c>
      <c r="C51" s="22" t="n">
        <f aca="false">$B$16*($C$16/B51)^B9</f>
        <v>253.32972833818</v>
      </c>
      <c r="D51" s="22" t="n">
        <f aca="false">C51*B51/B12</f>
        <v>397.031387103112</v>
      </c>
      <c r="E51" s="21" t="n">
        <f aca="false">0</f>
        <v>0</v>
      </c>
    </row>
    <row r="52" customFormat="false" ht="15" hidden="false" customHeight="false" outlineLevel="0" collapsed="false">
      <c r="A52" s="20" t="s">
        <v>72</v>
      </c>
      <c r="B52" s="21" t="n">
        <f aca="false">$C$16-($C$16-$C$17)*17/30</f>
        <v>0.421269005847953</v>
      </c>
      <c r="C52" s="22" t="n">
        <f aca="false">$B$16*($C$16/B52)^B9</f>
        <v>277.671725438159</v>
      </c>
      <c r="D52" s="22" t="n">
        <f aca="false">C52*B52/B12</f>
        <v>407.576626227942</v>
      </c>
      <c r="E52" s="21" t="n">
        <f aca="false">0</f>
        <v>0</v>
      </c>
    </row>
    <row r="53" customFormat="false" ht="15" hidden="false" customHeight="false" outlineLevel="0" collapsed="false">
      <c r="A53" s="20" t="s">
        <v>72</v>
      </c>
      <c r="B53" s="21" t="n">
        <f aca="false">$C$16-($C$16-$C$17)*18/30</f>
        <v>0.392736842105263</v>
      </c>
      <c r="C53" s="22" t="n">
        <f aca="false">$B$16*($C$16/B53)^B9</f>
        <v>306.318106431297</v>
      </c>
      <c r="D53" s="22" t="n">
        <f aca="false">C53*B53/B12</f>
        <v>419.172145642828</v>
      </c>
      <c r="E53" s="21" t="n">
        <f aca="false">0</f>
        <v>0</v>
      </c>
    </row>
    <row r="54" customFormat="false" ht="15" hidden="false" customHeight="false" outlineLevel="0" collapsed="false">
      <c r="A54" s="20" t="s">
        <v>72</v>
      </c>
      <c r="B54" s="21" t="n">
        <f aca="false">$C$16-($C$16-$C$17)*19/30</f>
        <v>0.364204678362573</v>
      </c>
      <c r="C54" s="22" t="n">
        <f aca="false">$B$16*($C$16/B54)^B9</f>
        <v>340.432678377542</v>
      </c>
      <c r="D54" s="22" t="n">
        <f aca="false">C54*B54/B12</f>
        <v>432.011059695478</v>
      </c>
      <c r="E54" s="21" t="n">
        <f aca="false">0</f>
        <v>0</v>
      </c>
    </row>
    <row r="55" customFormat="false" ht="15" hidden="false" customHeight="false" outlineLevel="0" collapsed="false">
      <c r="A55" s="20" t="s">
        <v>72</v>
      </c>
      <c r="B55" s="21" t="n">
        <f aca="false">$C$16-($C$16-$C$17)*20/30</f>
        <v>0.335672514619883</v>
      </c>
      <c r="C55" s="22" t="n">
        <f aca="false">$B$16*($C$16/B55)^B9</f>
        <v>381.621535913967</v>
      </c>
      <c r="D55" s="22" t="n">
        <f aca="false">C55*B55/B12</f>
        <v>446.340977677155</v>
      </c>
      <c r="E55" s="21" t="n">
        <f aca="false">0</f>
        <v>0</v>
      </c>
    </row>
    <row r="56" customFormat="false" ht="15" hidden="false" customHeight="false" outlineLevel="0" collapsed="false">
      <c r="A56" s="20" t="s">
        <v>72</v>
      </c>
      <c r="B56" s="21" t="n">
        <f aca="false">$C$16-($C$16-$C$17)*21/30</f>
        <v>0.307140350877193</v>
      </c>
      <c r="C56" s="22" t="n">
        <f aca="false">$B$16*($C$16/B56)^B9</f>
        <v>432.158782589663</v>
      </c>
      <c r="D56" s="22" t="n">
        <f aca="false">C56*B56/B12</f>
        <v>462.485714701218</v>
      </c>
      <c r="E56" s="21" t="n">
        <f aca="false">0</f>
        <v>0</v>
      </c>
    </row>
    <row r="57" customFormat="false" ht="15" hidden="false" customHeight="false" outlineLevel="0" collapsed="false">
      <c r="A57" s="20" t="s">
        <v>72</v>
      </c>
      <c r="B57" s="21" t="n">
        <f aca="false">$C$16-($C$16-$C$17)*22/30</f>
        <v>0.278608187134503</v>
      </c>
      <c r="C57" s="22" t="n">
        <f aca="false">$B$16*($C$16/B57)^B9</f>
        <v>495.362978272641</v>
      </c>
      <c r="D57" s="22" t="n">
        <f aca="false">C57*B57/B12</f>
        <v>480.87868066233</v>
      </c>
      <c r="E57" s="21" t="n">
        <f aca="false">0</f>
        <v>0</v>
      </c>
    </row>
    <row r="58" customFormat="false" ht="15" hidden="false" customHeight="false" outlineLevel="0" collapsed="false">
      <c r="A58" s="20" t="s">
        <v>72</v>
      </c>
      <c r="B58" s="21" t="n">
        <f aca="false">$C$16-($C$16-$C$17)*23/30</f>
        <v>0.250076023391813</v>
      </c>
      <c r="C58" s="22" t="n">
        <f aca="false">$B$16*($C$16/B58)^B9</f>
        <v>576.25418609556</v>
      </c>
      <c r="D58" s="22" t="n">
        <f aca="false">C58*B58/B12</f>
        <v>502.116220632973</v>
      </c>
      <c r="E58" s="21" t="n">
        <f aca="false">0</f>
        <v>0</v>
      </c>
    </row>
    <row r="59" customFormat="false" ht="15" hidden="false" customHeight="false" outlineLevel="0" collapsed="false">
      <c r="A59" s="20" t="s">
        <v>72</v>
      </c>
      <c r="B59" s="21" t="n">
        <f aca="false">$C$16-($C$16-$C$17)*24/30</f>
        <v>0.221543859649123</v>
      </c>
      <c r="C59" s="22" t="n">
        <f aca="false">$B$16*($C$16/B59)^B9</f>
        <v>682.765181120116</v>
      </c>
      <c r="D59" s="22" t="n">
        <f aca="false">C59*B59/B12</f>
        <v>527.046806478686</v>
      </c>
      <c r="E59" s="21" t="n">
        <f aca="false">0</f>
        <v>0</v>
      </c>
    </row>
    <row r="60" customFormat="false" ht="15" hidden="false" customHeight="false" outlineLevel="0" collapsed="false">
      <c r="A60" s="20" t="s">
        <v>72</v>
      </c>
      <c r="B60" s="21" t="n">
        <f aca="false">$C$16-($C$16-$C$17)*25/30</f>
        <v>0.193011695906433</v>
      </c>
      <c r="C60" s="22" t="n">
        <f aca="false">$B$16*($C$16/B60)^B9</f>
        <v>828.128807809531</v>
      </c>
      <c r="D60" s="22" t="n">
        <f aca="false">C60*B60/B12</f>
        <v>556.928730398223</v>
      </c>
      <c r="E60" s="21" t="n">
        <f aca="false">0</f>
        <v>0</v>
      </c>
    </row>
    <row r="61" customFormat="false" ht="15" hidden="false" customHeight="false" outlineLevel="0" collapsed="false">
      <c r="A61" s="20" t="s">
        <v>72</v>
      </c>
      <c r="B61" s="21" t="n">
        <f aca="false">$C$16-($C$16-$C$17)*26/30</f>
        <v>0.164479532163743</v>
      </c>
      <c r="C61" s="22" t="n">
        <f aca="false">$B$16*($C$16/B61)^B9</f>
        <v>1035.99667861415</v>
      </c>
      <c r="D61" s="22" t="n">
        <f aca="false">C61*B61/B12</f>
        <v>593.729090667757</v>
      </c>
      <c r="E61" s="21" t="n">
        <f aca="false">0</f>
        <v>0</v>
      </c>
    </row>
    <row r="62" customFormat="false" ht="15" hidden="false" customHeight="false" outlineLevel="0" collapsed="false">
      <c r="A62" s="20" t="s">
        <v>72</v>
      </c>
      <c r="B62" s="21" t="n">
        <f aca="false">$C$16-($C$16-$C$17)*27/30</f>
        <v>0.135947368421053</v>
      </c>
      <c r="C62" s="22" t="n">
        <f aca="false">$B$16*($C$16/B62)^B9</f>
        <v>1352.6824100711</v>
      </c>
      <c r="D62" s="22" t="n">
        <f aca="false">C62*B62/B12</f>
        <v>640.744299507361</v>
      </c>
      <c r="E62" s="21" t="n">
        <f aca="false">0</f>
        <v>0</v>
      </c>
    </row>
    <row r="63" customFormat="false" ht="15" hidden="false" customHeight="false" outlineLevel="0" collapsed="false">
      <c r="A63" s="20" t="s">
        <v>72</v>
      </c>
      <c r="B63" s="21" t="n">
        <f aca="false">$C$16-($C$16-$C$17)*28/30</f>
        <v>0.107415204678363</v>
      </c>
      <c r="C63" s="22" t="n">
        <f aca="false">$B$16*($C$16/B63)^B9</f>
        <v>1881.1477413807</v>
      </c>
      <c r="D63" s="22" t="n">
        <f aca="false">C63*B63/B12</f>
        <v>704.055295019677</v>
      </c>
      <c r="E63" s="21" t="n">
        <f aca="false">0</f>
        <v>0</v>
      </c>
    </row>
    <row r="64" customFormat="false" ht="15" hidden="false" customHeight="false" outlineLevel="0" collapsed="false">
      <c r="A64" s="20" t="s">
        <v>72</v>
      </c>
      <c r="B64" s="21" t="n">
        <f aca="false">$C$16-($C$16-$C$17)*29/30</f>
        <v>0.0788830409356726</v>
      </c>
      <c r="C64" s="22" t="n">
        <f aca="false">$B$16*($C$16/B64)^B9</f>
        <v>2898.26350308717</v>
      </c>
      <c r="D64" s="22" t="n">
        <f aca="false">C64*B64/B12</f>
        <v>796.598740614602</v>
      </c>
      <c r="E64" s="21" t="n">
        <f aca="false">0</f>
        <v>0</v>
      </c>
    </row>
    <row r="65" customFormat="false" ht="15" hidden="false" customHeight="false" outlineLevel="0" collapsed="false">
      <c r="A65" s="20" t="s">
        <v>72</v>
      </c>
      <c r="B65" s="21" t="n">
        <f aca="false">$C$16-($C$16-$C$17)*30/30</f>
        <v>0.0503508771929825</v>
      </c>
      <c r="C65" s="22" t="n">
        <f aca="false">$B$16*($C$16/B65)^B9</f>
        <v>5433.8183045804</v>
      </c>
      <c r="D65" s="22" t="n">
        <f aca="false">C65*B65/B12</f>
        <v>953.301456943931</v>
      </c>
      <c r="E65" s="21" t="n">
        <f aca="false">0</f>
        <v>0</v>
      </c>
    </row>
    <row r="66" customFormat="false" ht="15" hidden="false" customHeight="false" outlineLevel="0" collapsed="false">
      <c r="A66" s="20" t="s">
        <v>73</v>
      </c>
      <c r="B66" s="21" t="n">
        <f aca="false">$C$17+($C$18-$C$17)*0/10</f>
        <v>0.0503508771929825</v>
      </c>
      <c r="C66" s="22" t="n">
        <f aca="false">$B$17</f>
        <v>5433.81830458041</v>
      </c>
      <c r="D66" s="22" t="n">
        <f aca="false">C66*B66/B12</f>
        <v>953.301456943931</v>
      </c>
      <c r="E66" s="21" t="n">
        <f aca="false">B11*LN(D66/$D$17)</f>
        <v>2.23154827949656E-016</v>
      </c>
    </row>
    <row r="67" customFormat="false" ht="15" hidden="false" customHeight="false" outlineLevel="0" collapsed="false">
      <c r="A67" s="20" t="s">
        <v>73</v>
      </c>
      <c r="B67" s="21" t="n">
        <f aca="false">$C$17+($C$18-$C$17)*1/10</f>
        <v>0.0553859649122807</v>
      </c>
      <c r="C67" s="22" t="n">
        <f aca="false">$B$17</f>
        <v>5433.81830458041</v>
      </c>
      <c r="D67" s="22" t="n">
        <f aca="false">C67*B67/B12</f>
        <v>1048.63160263832</v>
      </c>
      <c r="E67" s="21" t="n">
        <f aca="false">B11*LN(D67/$D$17)</f>
        <v>0.0957867307033466</v>
      </c>
    </row>
    <row r="68" customFormat="false" ht="15" hidden="false" customHeight="false" outlineLevel="0" collapsed="false">
      <c r="A68" s="20" t="s">
        <v>73</v>
      </c>
      <c r="B68" s="21" t="n">
        <f aca="false">$C$17+($C$18-$C$17)*2/10</f>
        <v>0.0604210526315789</v>
      </c>
      <c r="C68" s="22" t="n">
        <f aca="false">$B$17</f>
        <v>5433.81830458041</v>
      </c>
      <c r="D68" s="22" t="n">
        <f aca="false">C68*B68/B12</f>
        <v>1143.96174833272</v>
      </c>
      <c r="E68" s="21" t="n">
        <f aca="false">B11*LN(D68/$D$17)</f>
        <v>0.183233164577925</v>
      </c>
    </row>
    <row r="69" customFormat="false" ht="15" hidden="false" customHeight="false" outlineLevel="0" collapsed="false">
      <c r="A69" s="20" t="s">
        <v>73</v>
      </c>
      <c r="B69" s="21" t="n">
        <f aca="false">$C$17+($C$18-$C$17)*3/10</f>
        <v>0.0654561403508772</v>
      </c>
      <c r="C69" s="22" t="n">
        <f aca="false">$B$17</f>
        <v>5433.81830458041</v>
      </c>
      <c r="D69" s="22" t="n">
        <f aca="false">C69*B69/B12</f>
        <v>1239.29189402711</v>
      </c>
      <c r="E69" s="21" t="n">
        <f aca="false">B11*LN(D69/$D$17)</f>
        <v>0.263676085789828</v>
      </c>
    </row>
    <row r="70" customFormat="false" ht="15" hidden="false" customHeight="false" outlineLevel="0" collapsed="false">
      <c r="A70" s="20" t="s">
        <v>73</v>
      </c>
      <c r="B70" s="21" t="n">
        <f aca="false">$C$17+($C$18-$C$17)*4/10</f>
        <v>0.0704912280701754</v>
      </c>
      <c r="C70" s="22" t="n">
        <f aca="false">$B$17</f>
        <v>5433.81830458041</v>
      </c>
      <c r="D70" s="22" t="n">
        <f aca="false">C70*B70/B12</f>
        <v>1334.6220397215</v>
      </c>
      <c r="E70" s="21" t="n">
        <f aca="false">B11*LN(D70/$D$17)</f>
        <v>0.338154597804319</v>
      </c>
    </row>
    <row r="71" customFormat="false" ht="15" hidden="false" customHeight="false" outlineLevel="0" collapsed="false">
      <c r="A71" s="20" t="s">
        <v>73</v>
      </c>
      <c r="B71" s="21" t="n">
        <f aca="false">$C$17+($C$18-$C$17)*5/10</f>
        <v>0.0755263157894737</v>
      </c>
      <c r="C71" s="22" t="n">
        <f aca="false">$B$17</f>
        <v>5433.81830458041</v>
      </c>
      <c r="D71" s="22" t="n">
        <f aca="false">C71*B71/B12</f>
        <v>1429.9521854159</v>
      </c>
      <c r="E71" s="21" t="n">
        <f aca="false">B11*LN(D71/$D$17)</f>
        <v>0.407492433648705</v>
      </c>
    </row>
    <row r="72" customFormat="false" ht="15" hidden="false" customHeight="false" outlineLevel="0" collapsed="false">
      <c r="A72" s="20" t="s">
        <v>73</v>
      </c>
      <c r="B72" s="21" t="n">
        <f aca="false">$C$17+($C$18-$C$17)*6/10</f>
        <v>0.0805614035087719</v>
      </c>
      <c r="C72" s="22" t="n">
        <f aca="false">$B$17</f>
        <v>5433.81830458041</v>
      </c>
      <c r="D72" s="22" t="n">
        <f aca="false">C72*B72/B12</f>
        <v>1525.28233111029</v>
      </c>
      <c r="E72" s="21" t="n">
        <f aca="false">B11*LN(D72/$D$17)</f>
        <v>0.472353647391964</v>
      </c>
    </row>
    <row r="73" customFormat="false" ht="15" hidden="false" customHeight="false" outlineLevel="0" collapsed="false">
      <c r="A73" s="20" t="s">
        <v>73</v>
      </c>
      <c r="B73" s="21" t="n">
        <f aca="false">$C$17+($C$18-$C$17)*7/10</f>
        <v>0.0855964912280702</v>
      </c>
      <c r="C73" s="22" t="n">
        <f aca="false">$B$17</f>
        <v>5433.81830458041</v>
      </c>
      <c r="D73" s="22" t="n">
        <f aca="false">C73*B73/B12</f>
        <v>1620.61247680468</v>
      </c>
      <c r="E73" s="21" t="n">
        <f aca="false">B11*LN(D73/$D$17)</f>
        <v>0.533281392317481</v>
      </c>
    </row>
    <row r="74" customFormat="false" ht="15" hidden="false" customHeight="false" outlineLevel="0" collapsed="false">
      <c r="A74" s="20" t="s">
        <v>73</v>
      </c>
      <c r="B74" s="21" t="n">
        <f aca="false">$C$17+($C$18-$C$17)*8/10</f>
        <v>0.0906315789473684</v>
      </c>
      <c r="C74" s="22" t="n">
        <f aca="false">$B$17</f>
        <v>5433.81830458041</v>
      </c>
      <c r="D74" s="22" t="n">
        <f aca="false">C74*B74/B12</f>
        <v>1715.94262249908</v>
      </c>
      <c r="E74" s="21" t="n">
        <f aca="false">B11*LN(D74/$D$17)</f>
        <v>0.59072559822663</v>
      </c>
    </row>
    <row r="75" customFormat="false" ht="15" hidden="false" customHeight="false" outlineLevel="0" collapsed="false">
      <c r="A75" s="20" t="s">
        <v>73</v>
      </c>
      <c r="B75" s="21" t="n">
        <f aca="false">$C$17+($C$18-$C$17)*9/10</f>
        <v>0.0956666666666667</v>
      </c>
      <c r="C75" s="22" t="n">
        <f aca="false">$B$17</f>
        <v>5433.81830458041</v>
      </c>
      <c r="D75" s="22" t="n">
        <f aca="false">C75*B75/B12</f>
        <v>1811.27276819347</v>
      </c>
      <c r="E75" s="21" t="n">
        <f aca="false">B11*LN(D75/$D$17)</f>
        <v>0.645063155603257</v>
      </c>
    </row>
    <row r="76" customFormat="false" ht="15" hidden="false" customHeight="false" outlineLevel="0" collapsed="false">
      <c r="A76" s="20" t="s">
        <v>73</v>
      </c>
      <c r="B76" s="21" t="n">
        <f aca="false">$C$17+($C$18-$C$17)*10/10</f>
        <v>0.100701754385965</v>
      </c>
      <c r="C76" s="22" t="n">
        <f aca="false">$B$17</f>
        <v>5433.81830458041</v>
      </c>
      <c r="D76" s="22" t="n">
        <f aca="false">C76*B76/B12</f>
        <v>1906.60291388786</v>
      </c>
      <c r="E76" s="21" t="n">
        <f aca="false">B11*LN(D76/$D$17)</f>
        <v>0.696612916462745</v>
      </c>
    </row>
    <row r="77" customFormat="false" ht="15" hidden="false" customHeight="false" outlineLevel="0" collapsed="false">
      <c r="A77" s="20" t="s">
        <v>74</v>
      </c>
      <c r="B77" s="21" t="n">
        <f aca="false">$C$18+($C$16-$C$18)*0/30</f>
        <v>0.100701754385965</v>
      </c>
      <c r="C77" s="22" t="n">
        <f aca="false">$B$18*($C$18/B77)^B9</f>
        <v>5433.81830458041</v>
      </c>
      <c r="D77" s="22" t="n">
        <f aca="false">C77*B77/B12</f>
        <v>1906.60291388786</v>
      </c>
      <c r="E77" s="21" t="n">
        <f aca="false">$E$18</f>
        <v>0.696612916462745</v>
      </c>
    </row>
    <row r="78" customFormat="false" ht="15" hidden="false" customHeight="false" outlineLevel="0" collapsed="false">
      <c r="A78" s="20" t="s">
        <v>74</v>
      </c>
      <c r="B78" s="21" t="n">
        <f aca="false">$C$18+($C$16-$C$18)*1/30</f>
        <v>0.127555555555556</v>
      </c>
      <c r="C78" s="22" t="n">
        <f aca="false">$B$18*($C$18/B78)^B9</f>
        <v>3902.81381644949</v>
      </c>
      <c r="D78" s="22" t="n">
        <f aca="false">C78*B78/B12</f>
        <v>1734.583918422</v>
      </c>
      <c r="E78" s="21" t="n">
        <f aca="false">$E$18</f>
        <v>0.696612916462745</v>
      </c>
    </row>
    <row r="79" customFormat="false" ht="15" hidden="false" customHeight="false" outlineLevel="0" collapsed="false">
      <c r="A79" s="20" t="s">
        <v>74</v>
      </c>
      <c r="B79" s="21" t="n">
        <f aca="false">$C$18+($C$16-$C$18)*2/30</f>
        <v>0.154409356725146</v>
      </c>
      <c r="C79" s="22" t="n">
        <f aca="false">$B$18*($C$18/B79)^B9</f>
        <v>2986.85338276466</v>
      </c>
      <c r="D79" s="22" t="n">
        <f aca="false">C79*B79/B12</f>
        <v>1606.96205388508</v>
      </c>
      <c r="E79" s="21" t="n">
        <f aca="false">$E$18</f>
        <v>0.696612916462745</v>
      </c>
    </row>
    <row r="80" customFormat="false" ht="15" hidden="false" customHeight="false" outlineLevel="0" collapsed="false">
      <c r="A80" s="20" t="s">
        <v>74</v>
      </c>
      <c r="B80" s="21" t="n">
        <f aca="false">$C$18+($C$16-$C$18)*3/30</f>
        <v>0.181263157894737</v>
      </c>
      <c r="C80" s="22" t="n">
        <f aca="false">$B$18*($C$18/B80)^B9</f>
        <v>2386.2921099341</v>
      </c>
      <c r="D80" s="22" t="n">
        <f aca="false">C80*B80/B12</f>
        <v>1507.13185890575</v>
      </c>
      <c r="E80" s="21" t="n">
        <f aca="false">$E$18</f>
        <v>0.696612916462745</v>
      </c>
    </row>
    <row r="81" customFormat="false" ht="15" hidden="false" customHeight="false" outlineLevel="0" collapsed="false">
      <c r="A81" s="20" t="s">
        <v>74</v>
      </c>
      <c r="B81" s="21" t="n">
        <f aca="false">$C$18+($C$16-$C$18)*4/30</f>
        <v>0.208116959064327</v>
      </c>
      <c r="C81" s="22" t="n">
        <f aca="false">$B$18*($C$18/B81)^B9</f>
        <v>1966.64740659125</v>
      </c>
      <c r="D81" s="22" t="n">
        <f aca="false">C81*B81/B12</f>
        <v>1426.10689132933</v>
      </c>
      <c r="E81" s="21" t="n">
        <f aca="false">$E$18</f>
        <v>0.696612916462745</v>
      </c>
    </row>
    <row r="82" customFormat="false" ht="15" hidden="false" customHeight="false" outlineLevel="0" collapsed="false">
      <c r="A82" s="20" t="s">
        <v>74</v>
      </c>
      <c r="B82" s="21" t="n">
        <f aca="false">$C$18+($C$16-$C$18)*5/30</f>
        <v>0.234970760233918</v>
      </c>
      <c r="C82" s="22" t="n">
        <f aca="false">$B$18*($C$18/B82)^B9</f>
        <v>1659.34852269736</v>
      </c>
      <c r="D82" s="22" t="n">
        <f aca="false">C82*B82/B12</f>
        <v>1358.53095425515</v>
      </c>
      <c r="E82" s="21" t="n">
        <f aca="false">$E$18</f>
        <v>0.696612916462745</v>
      </c>
    </row>
    <row r="83" customFormat="false" ht="15" hidden="false" customHeight="false" outlineLevel="0" collapsed="false">
      <c r="A83" s="20" t="s">
        <v>74</v>
      </c>
      <c r="B83" s="21" t="n">
        <f aca="false">$C$18+($C$16-$C$18)*6/30</f>
        <v>0.261824561403509</v>
      </c>
      <c r="C83" s="22" t="n">
        <f aca="false">$B$18*($C$18/B83)^B9</f>
        <v>1426.07519302663</v>
      </c>
      <c r="D83" s="22" t="n">
        <f aca="false">C83*B83/B12</f>
        <v>1300.98087784885</v>
      </c>
      <c r="E83" s="21" t="n">
        <f aca="false">$E$18</f>
        <v>0.696612916462745</v>
      </c>
    </row>
    <row r="84" customFormat="false" ht="15" hidden="false" customHeight="false" outlineLevel="0" collapsed="false">
      <c r="A84" s="20" t="s">
        <v>74</v>
      </c>
      <c r="B84" s="21" t="n">
        <f aca="false">$C$18+($C$16-$C$18)*7/30</f>
        <v>0.288678362573099</v>
      </c>
      <c r="C84" s="22" t="n">
        <f aca="false">$B$18*($C$18/B84)^B9</f>
        <v>1243.87585366169</v>
      </c>
      <c r="D84" s="22" t="n">
        <f aca="false">C84*B84/B12</f>
        <v>1251.14998146089</v>
      </c>
      <c r="E84" s="21" t="n">
        <f aca="false">$E$18</f>
        <v>0.696612916462745</v>
      </c>
    </row>
    <row r="85" customFormat="false" ht="15" hidden="false" customHeight="false" outlineLevel="0" collapsed="false">
      <c r="A85" s="20" t="s">
        <v>74</v>
      </c>
      <c r="B85" s="21" t="n">
        <f aca="false">$C$18+($C$16-$C$18)*8/30</f>
        <v>0.31553216374269</v>
      </c>
      <c r="C85" s="22" t="n">
        <f aca="false">$B$18*($C$18/B85)^B9</f>
        <v>1098.23650143542</v>
      </c>
      <c r="D85" s="22" t="n">
        <f aca="false">C85*B85/B12</f>
        <v>1207.41790801087</v>
      </c>
      <c r="E85" s="21" t="n">
        <f aca="false">$E$18</f>
        <v>0.696612916462745</v>
      </c>
    </row>
    <row r="86" customFormat="false" ht="15" hidden="false" customHeight="false" outlineLevel="0" collapsed="false">
      <c r="A86" s="20" t="s">
        <v>74</v>
      </c>
      <c r="B86" s="21" t="n">
        <f aca="false">$C$18+($C$16-$C$18)*9/30</f>
        <v>0.342385964912281</v>
      </c>
      <c r="C86" s="22" t="n">
        <f aca="false">$B$18*($C$18/B86)^B9</f>
        <v>979.568088390541</v>
      </c>
      <c r="D86" s="22" t="n">
        <f aca="false">C86*B86/B12</f>
        <v>1168.60754404486</v>
      </c>
      <c r="E86" s="21" t="n">
        <f aca="false">$E$18</f>
        <v>0.696612916462745</v>
      </c>
    </row>
    <row r="87" customFormat="false" ht="15" hidden="false" customHeight="false" outlineLevel="0" collapsed="false">
      <c r="A87" s="20" t="s">
        <v>74</v>
      </c>
      <c r="B87" s="21" t="n">
        <f aca="false">$C$18+($C$16-$C$18)*10/30</f>
        <v>0.369239766081871</v>
      </c>
      <c r="C87" s="22" t="n">
        <f aca="false">$B$18*($C$18/B87)^B9</f>
        <v>881.302718609519</v>
      </c>
      <c r="D87" s="22" t="n">
        <f aca="false">C87*B87/B12</f>
        <v>1133.83975493622</v>
      </c>
      <c r="E87" s="21" t="n">
        <f aca="false">$E$18</f>
        <v>0.696612916462745</v>
      </c>
    </row>
    <row r="88" customFormat="false" ht="15" hidden="false" customHeight="false" outlineLevel="0" collapsed="false">
      <c r="A88" s="20" t="s">
        <v>74</v>
      </c>
      <c r="B88" s="21" t="n">
        <f aca="false">$C$18+($C$16-$C$18)*11/30</f>
        <v>0.396093567251462</v>
      </c>
      <c r="C88" s="22" t="n">
        <f aca="false">$B$18*($C$18/B88)^B9</f>
        <v>798.803683425945</v>
      </c>
      <c r="D88" s="22" t="n">
        <f aca="false">C88*B88/B12</f>
        <v>1102.4425104592</v>
      </c>
      <c r="E88" s="21" t="n">
        <f aca="false">$E$18</f>
        <v>0.696612916462745</v>
      </c>
    </row>
    <row r="89" customFormat="false" ht="15" hidden="false" customHeight="false" outlineLevel="0" collapsed="false">
      <c r="A89" s="20" t="s">
        <v>74</v>
      </c>
      <c r="B89" s="21" t="n">
        <f aca="false">$C$18+($C$16-$C$18)*12/30</f>
        <v>0.422947368421053</v>
      </c>
      <c r="C89" s="22" t="n">
        <f aca="false">$B$18*($C$18/B89)^B9</f>
        <v>728.71230972256</v>
      </c>
      <c r="D89" s="22" t="n">
        <f aca="false">C89*B89/B12</f>
        <v>1073.8918248543</v>
      </c>
      <c r="E89" s="21" t="n">
        <f aca="false">$E$18</f>
        <v>0.696612916462745</v>
      </c>
    </row>
    <row r="90" customFormat="false" ht="15" hidden="false" customHeight="false" outlineLevel="0" collapsed="false">
      <c r="A90" s="20" t="s">
        <v>74</v>
      </c>
      <c r="B90" s="21" t="n">
        <f aca="false">$C$18+($C$16-$C$18)*13/30</f>
        <v>0.449801169590643</v>
      </c>
      <c r="C90" s="22" t="n">
        <f aca="false">$B$18*($C$18/B90)^B9</f>
        <v>668.541161152353</v>
      </c>
      <c r="D90" s="22" t="n">
        <f aca="false">C90*B90/B12</f>
        <v>1047.77211221538</v>
      </c>
      <c r="E90" s="21" t="n">
        <f aca="false">$E$18</f>
        <v>0.696612916462745</v>
      </c>
    </row>
    <row r="91" customFormat="false" ht="15" hidden="false" customHeight="false" outlineLevel="0" collapsed="false">
      <c r="A91" s="20" t="s">
        <v>74</v>
      </c>
      <c r="B91" s="21" t="n">
        <f aca="false">$C$18+($C$16-$C$18)*14/30</f>
        <v>0.476654970760234</v>
      </c>
      <c r="C91" s="22" t="n">
        <f aca="false">$B$18*($C$18/B91)^B9</f>
        <v>616.412144983793</v>
      </c>
      <c r="D91" s="22" t="n">
        <f aca="false">C91*B91/B12</f>
        <v>1023.74882558712</v>
      </c>
      <c r="E91" s="21" t="n">
        <f aca="false">$E$18</f>
        <v>0.696612916462745</v>
      </c>
    </row>
    <row r="92" customFormat="false" ht="15" hidden="false" customHeight="false" outlineLevel="0" collapsed="false">
      <c r="A92" s="20" t="s">
        <v>74</v>
      </c>
      <c r="B92" s="21" t="n">
        <f aca="false">$C$18+($C$16-$C$18)*15/30</f>
        <v>0.503508771929825</v>
      </c>
      <c r="C92" s="22" t="n">
        <f aca="false">$B$18*($C$18/B92)^B9</f>
        <v>570.882994442343</v>
      </c>
      <c r="D92" s="22" t="n">
        <f aca="false">C92*B92/B12</f>
        <v>1001.54911305674</v>
      </c>
      <c r="E92" s="21" t="n">
        <f aca="false">$E$18</f>
        <v>0.696612916462745</v>
      </c>
    </row>
    <row r="93" customFormat="false" ht="15" hidden="false" customHeight="false" outlineLevel="0" collapsed="false">
      <c r="A93" s="20" t="s">
        <v>74</v>
      </c>
      <c r="B93" s="21" t="n">
        <f aca="false">$C$18+($C$16-$C$18)*16/30</f>
        <v>0.530362573099415</v>
      </c>
      <c r="C93" s="22" t="n">
        <f aca="false">$B$18*($C$18/B93)^B9</f>
        <v>530.829374375169</v>
      </c>
      <c r="D93" s="22" t="n">
        <f aca="false">C93*B93/B12</f>
        <v>980.947849722534</v>
      </c>
      <c r="E93" s="21" t="n">
        <f aca="false">$E$18</f>
        <v>0.696612916462745</v>
      </c>
    </row>
    <row r="94" customFormat="false" ht="15" hidden="false" customHeight="false" outlineLevel="0" collapsed="false">
      <c r="A94" s="20" t="s">
        <v>74</v>
      </c>
      <c r="B94" s="21" t="n">
        <f aca="false">$C$18+($C$16-$C$18)*17/30</f>
        <v>0.557216374269006</v>
      </c>
      <c r="C94" s="22" t="n">
        <f aca="false">$B$18*($C$18/B94)^B9</f>
        <v>495.362978272641</v>
      </c>
      <c r="D94" s="22" t="n">
        <f aca="false">C94*B94/B12</f>
        <v>961.757361324659</v>
      </c>
      <c r="E94" s="21" t="n">
        <f aca="false">$E$18</f>
        <v>0.696612916462745</v>
      </c>
    </row>
    <row r="95" customFormat="false" ht="15" hidden="false" customHeight="false" outlineLevel="0" collapsed="false">
      <c r="A95" s="20" t="s">
        <v>74</v>
      </c>
      <c r="B95" s="21" t="n">
        <f aca="false">$C$18+($C$16-$C$18)*18/30</f>
        <v>0.584070175438596</v>
      </c>
      <c r="C95" s="22" t="n">
        <f aca="false">$B$18*($C$18/B95)^B9</f>
        <v>463.77349146176</v>
      </c>
      <c r="D95" s="22" t="n">
        <f aca="false">C95*B95/B12</f>
        <v>943.819737009897</v>
      </c>
      <c r="E95" s="21" t="n">
        <f aca="false">$E$18</f>
        <v>0.696612916462745</v>
      </c>
    </row>
    <row r="96" customFormat="false" ht="15" hidden="false" customHeight="false" outlineLevel="0" collapsed="false">
      <c r="A96" s="20" t="s">
        <v>74</v>
      </c>
      <c r="B96" s="21" t="n">
        <f aca="false">$C$18+($C$16-$C$18)*19/30</f>
        <v>0.610923976608187</v>
      </c>
      <c r="C96" s="22" t="n">
        <f aca="false">$B$18*($C$18/B96)^B9</f>
        <v>435.48672998679</v>
      </c>
      <c r="D96" s="22" t="n">
        <f aca="false">C96*B96/B12</f>
        <v>927.000992486501</v>
      </c>
      <c r="E96" s="21" t="n">
        <f aca="false">$E$18</f>
        <v>0.696612916462745</v>
      </c>
    </row>
    <row r="97" customFormat="false" ht="15" hidden="false" customHeight="false" outlineLevel="0" collapsed="false">
      <c r="A97" s="20" t="s">
        <v>74</v>
      </c>
      <c r="B97" s="21" t="n">
        <f aca="false">$C$18+($C$16-$C$18)*20/30</f>
        <v>0.637777777777778</v>
      </c>
      <c r="C97" s="22" t="n">
        <f aca="false">$B$18*($C$18/B97)^B9</f>
        <v>410.033960172631</v>
      </c>
      <c r="D97" s="22" t="n">
        <f aca="false">C97*B97/B12</f>
        <v>911.186578161402</v>
      </c>
      <c r="E97" s="21" t="n">
        <f aca="false">$E$18</f>
        <v>0.696612916462745</v>
      </c>
    </row>
    <row r="98" customFormat="false" ht="15" hidden="false" customHeight="false" outlineLevel="0" collapsed="false">
      <c r="A98" s="20" t="s">
        <v>74</v>
      </c>
      <c r="B98" s="21" t="n">
        <f aca="false">$C$18+($C$16-$C$18)*21/30</f>
        <v>0.664631578947369</v>
      </c>
      <c r="C98" s="22" t="n">
        <f aca="false">$B$18*($C$18/B98)^B9</f>
        <v>387.029084522134</v>
      </c>
      <c r="D98" s="22" t="n">
        <f aca="false">C98*B98/B12</f>
        <v>896.277879945994</v>
      </c>
      <c r="E98" s="21" t="n">
        <f aca="false">$E$18</f>
        <v>0.696612916462745</v>
      </c>
    </row>
    <row r="99" customFormat="false" ht="15" hidden="false" customHeight="false" outlineLevel="0" collapsed="false">
      <c r="A99" s="20" t="s">
        <v>74</v>
      </c>
      <c r="B99" s="21" t="n">
        <f aca="false">$C$18+($C$16-$C$18)*22/30</f>
        <v>0.691485380116959</v>
      </c>
      <c r="C99" s="22" t="n">
        <f aca="false">$B$18*($C$18/B99)^B9</f>
        <v>366.151451849763</v>
      </c>
      <c r="D99" s="22" t="n">
        <f aca="false">C99*B99/B12</f>
        <v>882.189462936271</v>
      </c>
      <c r="E99" s="21" t="n">
        <f aca="false">$E$18</f>
        <v>0.696612916462745</v>
      </c>
    </row>
    <row r="100" customFormat="false" ht="15" hidden="false" customHeight="false" outlineLevel="0" collapsed="false">
      <c r="A100" s="20" t="s">
        <v>74</v>
      </c>
      <c r="B100" s="21" t="n">
        <f aca="false">$C$18+($C$16-$C$18)*23/30</f>
        <v>0.71833918128655</v>
      </c>
      <c r="C100" s="22" t="n">
        <f aca="false">$B$18*($C$18/B100)^B9</f>
        <v>347.132748029157</v>
      </c>
      <c r="D100" s="22" t="n">
        <f aca="false">C100*B100/B12</f>
        <v>868.846878108066</v>
      </c>
      <c r="E100" s="21" t="n">
        <f aca="false">$E$18</f>
        <v>0.696612916462745</v>
      </c>
    </row>
    <row r="101" customFormat="false" ht="15" hidden="false" customHeight="false" outlineLevel="0" collapsed="false">
      <c r="A101" s="20" t="s">
        <v>74</v>
      </c>
      <c r="B101" s="21" t="n">
        <f aca="false">$C$18+($C$16-$C$18)*24/30</f>
        <v>0.74519298245614</v>
      </c>
      <c r="C101" s="22" t="n">
        <f aca="false">$B$18*($C$18/B101)^B9</f>
        <v>329.746887426479</v>
      </c>
      <c r="D101" s="22" t="n">
        <f aca="false">C101*B101/B12</f>
        <v>856.184900686296</v>
      </c>
      <c r="E101" s="21" t="n">
        <f aca="false">$E$18</f>
        <v>0.696612916462745</v>
      </c>
    </row>
    <row r="102" customFormat="false" ht="15" hidden="false" customHeight="false" outlineLevel="0" collapsed="false">
      <c r="A102" s="20" t="s">
        <v>74</v>
      </c>
      <c r="B102" s="21" t="n">
        <f aca="false">$C$18+($C$16-$C$18)*25/30</f>
        <v>0.772046783625731</v>
      </c>
      <c r="C102" s="22" t="n">
        <f aca="false">$B$18*($C$18/B102)^B9</f>
        <v>313.802138300353</v>
      </c>
      <c r="D102" s="22" t="n">
        <f aca="false">C102*B102/B12</f>
        <v>844.14610303019</v>
      </c>
      <c r="E102" s="21" t="n">
        <f aca="false">$E$18</f>
        <v>0.696612916462745</v>
      </c>
    </row>
    <row r="103" customFormat="false" ht="15" hidden="false" customHeight="false" outlineLevel="0" collapsed="false">
      <c r="A103" s="20" t="s">
        <v>74</v>
      </c>
      <c r="B103" s="21" t="n">
        <f aca="false">$C$18+($C$16-$C$18)*26/30</f>
        <v>0.798900584795322</v>
      </c>
      <c r="C103" s="22" t="n">
        <f aca="false">$B$18*($C$18/B103)^B9</f>
        <v>299.134930400996</v>
      </c>
      <c r="D103" s="22" t="n">
        <f aca="false">C103*B103/B12</f>
        <v>832.679689303358</v>
      </c>
      <c r="E103" s="21" t="n">
        <f aca="false">$E$18</f>
        <v>0.696612916462745</v>
      </c>
    </row>
    <row r="104" customFormat="false" ht="15" hidden="false" customHeight="false" outlineLevel="0" collapsed="false">
      <c r="A104" s="20" t="s">
        <v>74</v>
      </c>
      <c r="B104" s="21" t="n">
        <f aca="false">$C$18+($C$16-$C$18)*27/30</f>
        <v>0.825754385964912</v>
      </c>
      <c r="C104" s="22" t="n">
        <f aca="false">$B$18*($C$18/B104)^B9</f>
        <v>285.60494269676</v>
      </c>
      <c r="D104" s="22" t="n">
        <f aca="false">C104*B104/B12</f>
        <v>821.740536881907</v>
      </c>
      <c r="E104" s="21" t="n">
        <f aca="false">$E$18</f>
        <v>0.696612916462745</v>
      </c>
    </row>
    <row r="105" customFormat="false" ht="15" hidden="false" customHeight="false" outlineLevel="0" collapsed="false">
      <c r="A105" s="20" t="s">
        <v>74</v>
      </c>
      <c r="B105" s="21" t="n">
        <f aca="false">$C$18+($C$16-$C$18)*28/30</f>
        <v>0.852608187134503</v>
      </c>
      <c r="C105" s="22" t="n">
        <f aca="false">$B$18*($C$18/B105)^B9</f>
        <v>273.091174827769</v>
      </c>
      <c r="D105" s="22" t="n">
        <f aca="false">C105*B105/B12</f>
        <v>811.288402412318</v>
      </c>
      <c r="E105" s="21" t="n">
        <f aca="false">$E$18</f>
        <v>0.696612916462745</v>
      </c>
    </row>
    <row r="106" customFormat="false" ht="15" hidden="false" customHeight="false" outlineLevel="0" collapsed="false">
      <c r="A106" s="20" t="s">
        <v>74</v>
      </c>
      <c r="B106" s="21" t="n">
        <f aca="false">$C$18+($C$16-$C$18)*29/30</f>
        <v>0.879461988304094</v>
      </c>
      <c r="C106" s="22" t="n">
        <f aca="false">$B$18*($C$18/B106)^B9</f>
        <v>261.488781423003</v>
      </c>
      <c r="D106" s="22" t="n">
        <f aca="false">C106*B106/B12</f>
        <v>801.287260033063</v>
      </c>
      <c r="E106" s="21" t="n">
        <f aca="false">$E$18</f>
        <v>0.696612916462745</v>
      </c>
    </row>
    <row r="107" customFormat="false" ht="15" hidden="false" customHeight="false" outlineLevel="0" collapsed="false">
      <c r="A107" s="20" t="s">
        <v>74</v>
      </c>
      <c r="B107" s="21" t="n">
        <f aca="false">$C$18+($C$16-$C$18)*30/30</f>
        <v>0.906315789473684</v>
      </c>
      <c r="C107" s="22" t="n">
        <f aca="false">$B$18*($C$18/B107)^B9</f>
        <v>250.70650304685</v>
      </c>
      <c r="D107" s="22" t="n">
        <f aca="false">C107*B107/B12</f>
        <v>791.704746463737</v>
      </c>
      <c r="E107" s="21" t="n">
        <f aca="false">$E$18</f>
        <v>0.696612916462745</v>
      </c>
    </row>
    <row r="108" customFormat="false" ht="15" hidden="false" customHeight="false" outlineLevel="0" collapsed="false">
      <c r="A108" s="20" t="s">
        <v>75</v>
      </c>
      <c r="B108" s="21" t="n">
        <f aca="false">$C$16</f>
        <v>0.906315789473684</v>
      </c>
      <c r="C108" s="22" t="n">
        <f aca="false">D108*B12/B108</f>
        <v>250.70650304685</v>
      </c>
      <c r="D108" s="22" t="n">
        <f aca="false">$D$19+($D$16-$D$19)*0/10</f>
        <v>791.704746463737</v>
      </c>
      <c r="E108" s="21" t="n">
        <f aca="false">$E$19+B10*LN(D108/$D$19)</f>
        <v>0.696612916462745</v>
      </c>
    </row>
    <row r="109" customFormat="false" ht="15" hidden="false" customHeight="false" outlineLevel="0" collapsed="false">
      <c r="A109" s="20" t="s">
        <v>75</v>
      </c>
      <c r="B109" s="21" t="n">
        <f aca="false">$C$16</f>
        <v>0.906315789473684</v>
      </c>
      <c r="C109" s="22" t="n">
        <f aca="false">D109*B12/B109</f>
        <v>235.135852742165</v>
      </c>
      <c r="D109" s="22" t="n">
        <f aca="false">$D$19+($D$16-$D$19)*1/10</f>
        <v>742.534271817363</v>
      </c>
      <c r="E109" s="21" t="n">
        <f aca="false">$E$19+B10*LN(D109/$D$19)</f>
        <v>0.650575115104675</v>
      </c>
    </row>
    <row r="110" customFormat="false" ht="15" hidden="false" customHeight="false" outlineLevel="0" collapsed="false">
      <c r="A110" s="20" t="s">
        <v>75</v>
      </c>
      <c r="B110" s="21" t="n">
        <f aca="false">$C$16</f>
        <v>0.906315789473684</v>
      </c>
      <c r="C110" s="22" t="n">
        <f aca="false">D110*B12/B110</f>
        <v>219.56520243748</v>
      </c>
      <c r="D110" s="22" t="n">
        <f aca="false">$D$19+($D$16-$D$19)*2/10</f>
        <v>693.363797170989</v>
      </c>
      <c r="E110" s="21" t="n">
        <f aca="false">$E$19+B10*LN(D110/$D$19)</f>
        <v>0.601381915446515</v>
      </c>
    </row>
    <row r="111" customFormat="false" ht="15" hidden="false" customHeight="false" outlineLevel="0" collapsed="false">
      <c r="A111" s="20" t="s">
        <v>75</v>
      </c>
      <c r="B111" s="21" t="n">
        <f aca="false">$C$16</f>
        <v>0.906315789473684</v>
      </c>
      <c r="C111" s="22" t="n">
        <f aca="false">D111*B12/B111</f>
        <v>203.994552132795</v>
      </c>
      <c r="D111" s="22" t="n">
        <f aca="false">$D$19+($D$16-$D$19)*3/10</f>
        <v>644.193322524616</v>
      </c>
      <c r="E111" s="21" t="n">
        <f aca="false">$E$19+B10*LN(D111/$D$19)</f>
        <v>0.548568743362671</v>
      </c>
    </row>
    <row r="112" customFormat="false" ht="15" hidden="false" customHeight="false" outlineLevel="0" collapsed="false">
      <c r="A112" s="20" t="s">
        <v>75</v>
      </c>
      <c r="B112" s="21" t="n">
        <f aca="false">$C$16</f>
        <v>0.906315789473684</v>
      </c>
      <c r="C112" s="22" t="n">
        <f aca="false">D112*B12/B112</f>
        <v>188.42390182811</v>
      </c>
      <c r="D112" s="22" t="n">
        <f aca="false">$D$19+($D$16-$D$19)*4/10</f>
        <v>595.022847878242</v>
      </c>
      <c r="E112" s="21" t="n">
        <f aca="false">$E$19+B10*LN(D112/$D$19)</f>
        <v>0.491560213466222</v>
      </c>
    </row>
    <row r="113" customFormat="false" ht="15" hidden="false" customHeight="false" outlineLevel="0" collapsed="false">
      <c r="A113" s="20" t="s">
        <v>75</v>
      </c>
      <c r="B113" s="21" t="n">
        <f aca="false">$C$16</f>
        <v>0.906315789473684</v>
      </c>
      <c r="C113" s="22" t="n">
        <f aca="false">D113*B12/B113</f>
        <v>172.853251523425</v>
      </c>
      <c r="D113" s="22" t="n">
        <f aca="false">$D$19+($D$16-$D$19)*5/10</f>
        <v>545.852373231868</v>
      </c>
      <c r="E113" s="21" t="n">
        <f aca="false">$E$19+B10*LN(D113/$D$19)</f>
        <v>0.4296318201924</v>
      </c>
    </row>
    <row r="114" customFormat="false" ht="15" hidden="false" customHeight="false" outlineLevel="0" collapsed="false">
      <c r="A114" s="20" t="s">
        <v>75</v>
      </c>
      <c r="B114" s="21" t="n">
        <f aca="false">$C$16</f>
        <v>0.906315789473684</v>
      </c>
      <c r="C114" s="22" t="n">
        <f aca="false">D114*B12/B114</f>
        <v>157.28260121874</v>
      </c>
      <c r="D114" s="22" t="n">
        <f aca="false">$D$19+($D$16-$D$19)*6/10</f>
        <v>496.681898585495</v>
      </c>
      <c r="E114" s="21" t="n">
        <f aca="false">$E$19+B10*LN(D114/$D$19)</f>
        <v>0.361853494432281</v>
      </c>
    </row>
    <row r="115" customFormat="false" ht="15" hidden="false" customHeight="false" outlineLevel="0" collapsed="false">
      <c r="A115" s="20" t="s">
        <v>75</v>
      </c>
      <c r="B115" s="21" t="n">
        <f aca="false">$C$16</f>
        <v>0.906315789473684</v>
      </c>
      <c r="C115" s="22" t="n">
        <f aca="false">D115*B12/B115</f>
        <v>141.711950914055</v>
      </c>
      <c r="D115" s="22" t="n">
        <f aca="false">$D$19+($D$16-$D$19)*7/10</f>
        <v>447.511423939121</v>
      </c>
      <c r="E115" s="21" t="n">
        <f aca="false">$E$19+B10*LN(D115/$D$19)</f>
        <v>0.28700363696539</v>
      </c>
    </row>
    <row r="116" customFormat="false" ht="15" hidden="false" customHeight="false" outlineLevel="0" collapsed="false">
      <c r="A116" s="20" t="s">
        <v>75</v>
      </c>
      <c r="B116" s="21" t="n">
        <f aca="false">$C$16</f>
        <v>0.906315789473684</v>
      </c>
      <c r="C116" s="22" t="n">
        <f aca="false">D116*B12/B116</f>
        <v>126.14130060937</v>
      </c>
      <c r="D116" s="22" t="n">
        <f aca="false">$D$19+($D$16-$D$19)*8/10</f>
        <v>398.340949292747</v>
      </c>
      <c r="E116" s="21" t="n">
        <f aca="false">$E$19+B10*LN(D116/$D$19)</f>
        <v>0.203432909626816</v>
      </c>
    </row>
    <row r="117" customFormat="false" ht="15" hidden="false" customHeight="false" outlineLevel="0" collapsed="false">
      <c r="A117" s="20" t="s">
        <v>75</v>
      </c>
      <c r="B117" s="21" t="n">
        <f aca="false">$C$16</f>
        <v>0.906315789473684</v>
      </c>
      <c r="C117" s="22" t="n">
        <f aca="false">D117*B12/B117</f>
        <v>110.570650304685</v>
      </c>
      <c r="D117" s="22" t="n">
        <f aca="false">$D$19+($D$16-$D$19)*9/10</f>
        <v>349.170474646374</v>
      </c>
      <c r="E117" s="21" t="n">
        <f aca="false">$E$19+B10*LN(D117/$D$19)</f>
        <v>0.108837826886353</v>
      </c>
    </row>
    <row r="118" customFormat="false" ht="15" hidden="false" customHeight="false" outlineLevel="0" collapsed="false">
      <c r="A118" s="20" t="s">
        <v>75</v>
      </c>
      <c r="B118" s="21" t="n">
        <f aca="false">$C$16</f>
        <v>0.906315789473684</v>
      </c>
      <c r="C118" s="22" t="n">
        <f aca="false">D118*B12/B118</f>
        <v>95</v>
      </c>
      <c r="D118" s="22" t="n">
        <f aca="false">$D$19+($D$16-$D$19)*10/10</f>
        <v>300</v>
      </c>
      <c r="E118" s="21" t="n">
        <f aca="false">$E$19+B10*LN(D118/$D$19)</f>
        <v>-0.000138629436112092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572E"/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4"/>
  </cols>
  <sheetData>
    <row r="1" customFormat="false" ht="19.7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11" t="s">
        <v>49</v>
      </c>
      <c r="B4" s="8" t="n">
        <v>1.4</v>
      </c>
      <c r="C4" s="11" t="s">
        <v>44</v>
      </c>
    </row>
    <row r="5" customFormat="false" ht="15" hidden="false" customHeight="false" outlineLevel="0" collapsed="false">
      <c r="A5" s="11" t="s">
        <v>89</v>
      </c>
      <c r="B5" s="8" t="n">
        <v>2</v>
      </c>
      <c r="C5" s="11" t="s">
        <v>44</v>
      </c>
    </row>
    <row r="6" customFormat="false" ht="15" hidden="false" customHeight="false" outlineLevel="0" collapsed="false">
      <c r="A6" s="11" t="s">
        <v>90</v>
      </c>
      <c r="B6" s="8" t="n">
        <v>3</v>
      </c>
      <c r="C6" s="11" t="s">
        <v>44</v>
      </c>
    </row>
    <row r="8" customFormat="false" ht="15" hidden="false" customHeight="false" outlineLevel="0" collapsed="false">
      <c r="A8" s="13" t="s">
        <v>91</v>
      </c>
      <c r="B8" s="13" t="s">
        <v>92</v>
      </c>
      <c r="C8" s="13" t="s">
        <v>93</v>
      </c>
      <c r="D8" s="13" t="s">
        <v>94</v>
      </c>
    </row>
    <row r="9" customFormat="false" ht="15" hidden="false" customHeight="false" outlineLevel="0" collapsed="false">
      <c r="A9" s="23" t="n">
        <v>2</v>
      </c>
      <c r="B9" s="24" t="n">
        <f aca="false">1-1/A9^(B4-1)</f>
        <v>0.242141716744801</v>
      </c>
      <c r="C9" s="24" t="n">
        <f aca="false">1-(B5^B4-1)/(B4*(B5-1)*A9^(B4-1))</f>
        <v>0.112755916610856</v>
      </c>
      <c r="D9" s="24" t="n">
        <f aca="false">1-(B6^B4-1)/(B4*(B6-1)*A9^(B4-1))</f>
        <v>0.0105790056004209</v>
      </c>
    </row>
    <row r="10" customFormat="false" ht="15" hidden="false" customHeight="false" outlineLevel="0" collapsed="false">
      <c r="A10" s="23" t="n">
        <v>3</v>
      </c>
      <c r="B10" s="24" t="n">
        <f aca="false">1-1/A10^(B4-1)</f>
        <v>0.355605985022746</v>
      </c>
      <c r="C10" s="24" t="n">
        <f aca="false">1-(B5^B4-1)/(B4*(B5-1)*A10^(B4-1))</f>
        <v>0.245591438673476</v>
      </c>
      <c r="D10" s="24" t="n">
        <f aca="false">1-(B6^B4-1)/(B4*(B6-1)*A10^(B4-1))</f>
        <v>0.158712148206162</v>
      </c>
    </row>
    <row r="11" customFormat="false" ht="15" hidden="false" customHeight="false" outlineLevel="0" collapsed="false">
      <c r="A11" s="23" t="n">
        <v>4</v>
      </c>
      <c r="B11" s="24" t="n">
        <f aca="false">1-1/A11^(B4-1)</f>
        <v>0.425650822501482</v>
      </c>
      <c r="C11" s="24" t="n">
        <f aca="false">1-(B5^B4-1)/(B4*(B5-1)*A11^(B4-1))</f>
        <v>0.327594722134371</v>
      </c>
      <c r="D11" s="24" t="n">
        <f aca="false">1-(B6^B4-1)/(B4*(B6-1)*A11^(B4-1))</f>
        <v>0.250159103767683</v>
      </c>
    </row>
    <row r="12" customFormat="false" ht="15" hidden="false" customHeight="false" outlineLevel="0" collapsed="false">
      <c r="A12" s="23" t="n">
        <v>5</v>
      </c>
      <c r="B12" s="24" t="n">
        <f aca="false">1-1/A12^(B4-1)</f>
        <v>0.474694439119246</v>
      </c>
      <c r="C12" s="24" t="n">
        <f aca="false">1-(B5^B4-1)/(B4*(B5-1)*A12^(B4-1))</f>
        <v>0.3850113389789</v>
      </c>
      <c r="D12" s="24" t="n">
        <f aca="false">1-(B6^B4-1)/(B4*(B6-1)*A12^(B4-1))</f>
        <v>0.314187940022495</v>
      </c>
    </row>
    <row r="13" customFormat="false" ht="15" hidden="false" customHeight="false" outlineLevel="0" collapsed="false">
      <c r="A13" s="23" t="n">
        <v>6</v>
      </c>
      <c r="B13" s="24" t="n">
        <f aca="false">1-1/A13^(B4-1)</f>
        <v>0.511640658069413</v>
      </c>
      <c r="C13" s="24" t="n">
        <f aca="false">1-(B5^B4-1)/(B4*(B5-1)*A13^(B4-1))</f>
        <v>0.428265222840056</v>
      </c>
      <c r="D13" s="24" t="n">
        <f aca="false">1-(B6^B4-1)/(B4*(B6-1)*A13^(B4-1))</f>
        <v>0.362423032916068</v>
      </c>
    </row>
    <row r="14" customFormat="false" ht="15" hidden="false" customHeight="false" outlineLevel="0" collapsed="false">
      <c r="A14" s="23" t="n">
        <v>7</v>
      </c>
      <c r="B14" s="24" t="n">
        <f aca="false">1-1/A14^(B4-1)</f>
        <v>0.540843450040566</v>
      </c>
      <c r="C14" s="24" t="n">
        <f aca="false">1-(B5^B4-1)/(B4*(B5-1)*A14^(B4-1))</f>
        <v>0.46245367860722</v>
      </c>
      <c r="D14" s="24" t="n">
        <f aca="false">1-(B6^B4-1)/(B4*(B6-1)*A14^(B4-1))</f>
        <v>0.400548703783232</v>
      </c>
    </row>
    <row r="15" customFormat="false" ht="15" hidden="false" customHeight="false" outlineLevel="0" collapsed="false">
      <c r="A15" s="23" t="n">
        <v>8</v>
      </c>
      <c r="B15" s="24" t="n">
        <f aca="false">1-1/A15^(B4-1)</f>
        <v>0.564724718351938</v>
      </c>
      <c r="C15" s="24" t="n">
        <f aca="false">1-(B5^B4-1)/(B4*(B5-1)*A15^(B4-1))</f>
        <v>0.490412090465019</v>
      </c>
      <c r="D15" s="24" t="n">
        <f aca="false">1-(B6^B4-1)/(B4*(B6-1)*A15^(B4-1))</f>
        <v>0.431726865666836</v>
      </c>
    </row>
    <row r="16" customFormat="false" ht="15" hidden="false" customHeight="false" outlineLevel="0" collapsed="false">
      <c r="A16" s="23" t="n">
        <v>9</v>
      </c>
      <c r="B16" s="24" t="n">
        <f aca="false">1-1/A16^(B4-1)</f>
        <v>0.584756353461494</v>
      </c>
      <c r="C16" s="24" t="n">
        <f aca="false">1-(B5^B4-1)/(B4*(B5-1)*A16^(B4-1))</f>
        <v>0.513863638233587</v>
      </c>
      <c r="D16" s="24" t="n">
        <f aca="false">1-(B6^B4-1)/(B4*(B6-1)*A16^(B4-1))</f>
        <v>0.45787914343098</v>
      </c>
    </row>
    <row r="17" customFormat="false" ht="15" hidden="false" customHeight="false" outlineLevel="0" collapsed="false">
      <c r="A17" s="23" t="n">
        <v>10</v>
      </c>
      <c r="B17" s="24" t="n">
        <f aca="false">1-1/A17^(B4-1)</f>
        <v>0.601892829446503</v>
      </c>
      <c r="C17" s="24" t="n">
        <f aca="false">1-(B5^B4-1)/(B4*(B5-1)*A17^(B4-1))</f>
        <v>0.533925749137136</v>
      </c>
      <c r="D17" s="24" t="n">
        <f aca="false">1-(B6^B4-1)/(B4*(B6-1)*A17^(B4-1))</f>
        <v>0.480251649589736</v>
      </c>
    </row>
    <row r="18" customFormat="false" ht="15" hidden="false" customHeight="false" outlineLevel="0" collapsed="false">
      <c r="A18" s="23" t="n">
        <v>11</v>
      </c>
      <c r="B18" s="24" t="n">
        <f aca="false">1-1/A18^(B4-1)</f>
        <v>0.616784624264373</v>
      </c>
      <c r="C18" s="24" t="n">
        <f aca="false">1-(B5^B4-1)/(B4*(B5-1)*A18^(B4-1))</f>
        <v>0.551359954364066</v>
      </c>
      <c r="D18" s="24" t="n">
        <f aca="false">1-(B6^B4-1)/(B4*(B6-1)*A18^(B4-1))</f>
        <v>0.499693614878819</v>
      </c>
    </row>
    <row r="19" customFormat="false" ht="15" hidden="false" customHeight="false" outlineLevel="0" collapsed="false">
      <c r="A19" s="23" t="n">
        <v>12</v>
      </c>
      <c r="B19" s="24" t="n">
        <f aca="false">1-1/A19^(B4-1)</f>
        <v>0.629892827512847</v>
      </c>
      <c r="C19" s="24" t="n">
        <f aca="false">1-(B5^B4-1)/(B4*(B5-1)*A19^(B4-1))</f>
        <v>0.566706063304271</v>
      </c>
      <c r="D19" s="24" t="n">
        <f aca="false">1-(B6^B4-1)/(B4*(B6-1)*A19^(B4-1))</f>
        <v>0.516807014282715</v>
      </c>
    </row>
    <row r="20" customFormat="false" ht="15" hidden="false" customHeight="false" outlineLevel="0" collapsed="false">
      <c r="A20" s="23" t="n">
        <v>13</v>
      </c>
      <c r="B20" s="24" t="n">
        <f aca="false">1-1/A20^(B4-1)</f>
        <v>0.641554890766456</v>
      </c>
      <c r="C20" s="24" t="n">
        <f aca="false">1-(B5^B4-1)/(B4*(B5-1)*A20^(B4-1))</f>
        <v>0.580359139150367</v>
      </c>
      <c r="D20" s="24" t="n">
        <f aca="false">1-(B6^B4-1)/(B4*(B6-1)*A20^(B4-1))</f>
        <v>0.532032407309463</v>
      </c>
    </row>
    <row r="21" customFormat="false" ht="15" hidden="false" customHeight="false" outlineLevel="0" collapsed="false">
      <c r="A21" s="23" t="n">
        <v>14</v>
      </c>
      <c r="B21" s="24" t="n">
        <f aca="false">1-1/A21^(B4-1)</f>
        <v>0.652024405302363</v>
      </c>
      <c r="C21" s="24" t="n">
        <f aca="false">1-(B5^B4-1)/(B4*(B5-1)*A21^(B4-1))</f>
        <v>0.59261606769912</v>
      </c>
      <c r="D21" s="24" t="n">
        <f aca="false">1-(B6^B4-1)/(B4*(B6-1)*A21^(B4-1))</f>
        <v>0.545700869754057</v>
      </c>
    </row>
    <row r="22" customFormat="false" ht="15" hidden="false" customHeight="false" outlineLevel="0" collapsed="false">
      <c r="A22" s="23" t="n">
        <v>15</v>
      </c>
      <c r="B22" s="24" t="n">
        <f aca="false">1-1/A22^(B4-1)</f>
        <v>0.661496240534173</v>
      </c>
      <c r="C22" s="24" t="n">
        <f aca="false">1-(B5^B4-1)/(B4*(B5-1)*A22^(B4-1))</f>
        <v>0.603704987559128</v>
      </c>
      <c r="D22" s="24" t="n">
        <f aca="false">1-(B6^B4-1)/(B4*(B6-1)*A22^(B4-1))</f>
        <v>0.558066813151274</v>
      </c>
    </row>
    <row r="23" customFormat="false" ht="15" hidden="false" customHeight="false" outlineLevel="0" collapsed="false">
      <c r="A23" s="23" t="n">
        <v>16</v>
      </c>
      <c r="B23" s="24" t="n">
        <f aca="false">1-1/A23^(B4-1)</f>
        <v>0.670123022306776</v>
      </c>
      <c r="C23" s="24" t="n">
        <f aca="false">1-(B5^B4-1)/(B4*(B5-1)*A23^(B4-1))</f>
        <v>0.613804581712214</v>
      </c>
      <c r="D23" s="24" t="n">
        <f aca="false">1-(B6^B4-1)/(B4*(B6-1)*A23^(B4-1))</f>
        <v>0.569329497994217</v>
      </c>
    </row>
    <row r="24" customFormat="false" ht="15" hidden="false" customHeight="false" outlineLevel="0" collapsed="false">
      <c r="A24" s="23" t="n">
        <v>17</v>
      </c>
      <c r="B24" s="24" t="n">
        <f aca="false">1-1/A24^(B4-1)</f>
        <v>0.678026275475383</v>
      </c>
      <c r="C24" s="24" t="n">
        <f aca="false">1-(B5^B4-1)/(B4*(B5-1)*A24^(B4-1))</f>
        <v>0.623057122415805</v>
      </c>
      <c r="D24" s="24" t="n">
        <f aca="false">1-(B6^B4-1)/(B4*(B6-1)*A24^(B4-1))</f>
        <v>0.579647580915324</v>
      </c>
    </row>
    <row r="25" customFormat="false" ht="15" hidden="false" customHeight="false" outlineLevel="0" collapsed="false">
      <c r="A25" s="23" t="n">
        <v>18</v>
      </c>
      <c r="B25" s="24" t="n">
        <f aca="false">1-1/A25^(B4-1)</f>
        <v>0.685304162901699</v>
      </c>
      <c r="C25" s="24" t="n">
        <f aca="false">1-(B5^B4-1)/(B4*(B5-1)*A25^(B4-1))</f>
        <v>0.631577531443778</v>
      </c>
      <c r="D25" s="24" t="n">
        <f aca="false">1-(B6^B4-1)/(B4*(B6-1)*A25^(B4-1))</f>
        <v>0.589149218323764</v>
      </c>
    </row>
    <row r="26" customFormat="false" ht="15" hidden="false" customHeight="false" outlineLevel="0" collapsed="false">
      <c r="A26" s="23" t="n">
        <v>19</v>
      </c>
      <c r="B26" s="24" t="n">
        <f aca="false">1-1/A26^(B4-1)</f>
        <v>0.69203698724162</v>
      </c>
      <c r="C26" s="24" t="n">
        <f aca="false">1-(B5^B4-1)/(B4*(B5-1)*A26^(B4-1))</f>
        <v>0.639459821170077</v>
      </c>
      <c r="D26" s="24" t="n">
        <f aca="false">1-(B6^B4-1)/(B4*(B6-1)*A26^(B4-1))</f>
        <v>0.597939249257924</v>
      </c>
      <c r="F26" s="2" t="s">
        <v>95</v>
      </c>
    </row>
    <row r="27" customFormat="false" ht="15" hidden="false" customHeight="false" outlineLevel="0" collapsed="false">
      <c r="A27" s="23" t="n">
        <v>20</v>
      </c>
      <c r="B27" s="24" t="n">
        <f aca="false">1-1/A27^(B4-1)</f>
        <v>0.698291183172742</v>
      </c>
      <c r="C27" s="24" t="n">
        <f aca="false">1-(B5^B4-1)/(B4*(B5-1)*A27^(B4-1))</f>
        <v>0.646781768371617</v>
      </c>
      <c r="D27" s="24" t="n">
        <f aca="false">1-(B6^B4-1)/(B4*(B6-1)*A27^(B4-1))</f>
        <v>0.606104407433356</v>
      </c>
    </row>
    <row r="28" customFormat="false" ht="15" hidden="false" customHeight="false" outlineLevel="0" collapsed="false">
      <c r="A28" s="23" t="n">
        <v>21</v>
      </c>
      <c r="B28" s="24" t="n">
        <f aca="false">1-1/A28^(B4-1)</f>
        <v>0.704122267268536</v>
      </c>
      <c r="C28" s="24" t="n">
        <f aca="false">1-(B5^B4-1)/(B4*(B5-1)*A28^(B4-1))</f>
        <v>0.653608367721453</v>
      </c>
      <c r="D28" s="24" t="n">
        <f aca="false">1-(B6^B4-1)/(B4*(B6-1)*A28^(B4-1))</f>
        <v>0.613717172447558</v>
      </c>
    </row>
    <row r="29" customFormat="false" ht="15" hidden="false" customHeight="false" outlineLevel="0" collapsed="false">
      <c r="A29" s="23" t="n">
        <v>22</v>
      </c>
      <c r="B29" s="24" t="n">
        <f aca="false">1-1/A29^(B4-1)</f>
        <v>0.709577053228001</v>
      </c>
      <c r="C29" s="24" t="n">
        <f aca="false">1-(B5^B4-1)/(B4*(B5-1)*A29^(B4-1))</f>
        <v>0.659994425214817</v>
      </c>
      <c r="D29" s="24" t="n">
        <f aca="false">1-(B6^B4-1)/(B4*(B6-1)*A29^(B4-1))</f>
        <v>0.620838661870447</v>
      </c>
    </row>
    <row r="30" customFormat="false" ht="15" hidden="false" customHeight="false" outlineLevel="0" collapsed="false">
      <c r="A30" s="23" t="n">
        <v>23</v>
      </c>
      <c r="B30" s="24" t="n">
        <f aca="false">1-1/A30^(B4-1)</f>
        <v>0.71469533976018</v>
      </c>
      <c r="C30" s="24" t="n">
        <f aca="false">1-(B5^B4-1)/(B4*(B5-1)*A30^(B4-1))</f>
        <v>0.665986534218707</v>
      </c>
      <c r="D30" s="24" t="n">
        <f aca="false">1-(B6^B4-1)/(B4*(B6-1)*A30^(B4-1))</f>
        <v>0.627520834860018</v>
      </c>
    </row>
    <row r="31" customFormat="false" ht="15" hidden="false" customHeight="false" outlineLevel="0" collapsed="false">
      <c r="A31" s="23" t="n">
        <v>24</v>
      </c>
      <c r="B31" s="24" t="n">
        <f aca="false">1-1/A31^(B4-1)</f>
        <v>0.71951121363845</v>
      </c>
      <c r="C31" s="24" t="n">
        <f aca="false">1-(B5^B4-1)/(B4*(B5-1)*A31^(B4-1))</f>
        <v>0.671624600990888</v>
      </c>
      <c r="D31" s="24" t="n">
        <f aca="false">1-(B6^B4-1)/(B4*(B6-1)*A31^(B4-1))</f>
        <v>0.633808193363344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tru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15" hidden="false" customHeight="false" outlineLevel="0" collapsed="false">
      <c r="A4" s="6" t="s">
        <v>35</v>
      </c>
    </row>
    <row r="5" customFormat="false" ht="15" hidden="false" customHeight="false" outlineLevel="0" collapsed="false">
      <c r="A5" s="11" t="s">
        <v>98</v>
      </c>
      <c r="B5" s="8" t="n">
        <v>84</v>
      </c>
      <c r="C5" s="11" t="s">
        <v>99</v>
      </c>
      <c r="D5" s="2" t="s">
        <v>100</v>
      </c>
    </row>
    <row r="6" customFormat="false" ht="15" hidden="false" customHeight="false" outlineLevel="0" collapsed="false">
      <c r="A6" s="11" t="s">
        <v>101</v>
      </c>
      <c r="B6" s="8" t="n">
        <v>81</v>
      </c>
      <c r="C6" s="11" t="s">
        <v>99</v>
      </c>
    </row>
    <row r="7" customFormat="false" ht="15" hidden="false" customHeight="false" outlineLevel="0" collapsed="false">
      <c r="A7" s="11" t="s">
        <v>102</v>
      </c>
      <c r="B7" s="8" t="n">
        <v>4</v>
      </c>
      <c r="C7" s="11" t="s">
        <v>44</v>
      </c>
    </row>
    <row r="8" customFormat="false" ht="15" hidden="false" customHeight="false" outlineLevel="0" collapsed="false">
      <c r="A8" s="11" t="s">
        <v>103</v>
      </c>
      <c r="B8" s="8" t="n">
        <v>9.9</v>
      </c>
      <c r="C8" s="11" t="s">
        <v>44</v>
      </c>
    </row>
    <row r="9" customFormat="false" ht="15" hidden="false" customHeight="false" outlineLevel="0" collapsed="false">
      <c r="A9" s="11" t="s">
        <v>104</v>
      </c>
      <c r="B9" s="8" t="n">
        <v>1.5</v>
      </c>
      <c r="C9" s="11" t="s">
        <v>99</v>
      </c>
    </row>
    <row r="10" customFormat="false" ht="15" hidden="false" customHeight="false" outlineLevel="0" collapsed="false">
      <c r="A10" s="11" t="s">
        <v>105</v>
      </c>
      <c r="B10" s="8" t="n">
        <v>10.5</v>
      </c>
      <c r="C10" s="11" t="s">
        <v>44</v>
      </c>
    </row>
    <row r="11" customFormat="false" ht="15" hidden="false" customHeight="false" outlineLevel="0" collapsed="false">
      <c r="A11" s="11" t="s">
        <v>106</v>
      </c>
      <c r="B11" s="8" t="n">
        <v>6000</v>
      </c>
      <c r="C11" s="11" t="s">
        <v>107</v>
      </c>
    </row>
    <row r="13" customFormat="false" ht="15" hidden="false" customHeight="false" outlineLevel="0" collapsed="false">
      <c r="A13" s="6" t="s">
        <v>59</v>
      </c>
    </row>
    <row r="14" customFormat="false" ht="15" hidden="false" customHeight="false" outlineLevel="0" collapsed="false">
      <c r="A14" s="11" t="s">
        <v>108</v>
      </c>
      <c r="B14" s="25" t="n">
        <f aca="false">PI()*(B5/10)^2/4</f>
        <v>55.417694409324</v>
      </c>
      <c r="C14" s="11" t="s">
        <v>109</v>
      </c>
    </row>
    <row r="15" customFormat="false" ht="15" hidden="false" customHeight="false" outlineLevel="0" collapsed="false">
      <c r="A15" s="11" t="s">
        <v>110</v>
      </c>
      <c r="B15" s="17" t="n">
        <f aca="false">B14*B6/10</f>
        <v>448.883324715524</v>
      </c>
      <c r="C15" s="11" t="s">
        <v>111</v>
      </c>
    </row>
    <row r="16" customFormat="false" ht="15" hidden="false" customHeight="false" outlineLevel="0" collapsed="false">
      <c r="A16" s="11" t="s">
        <v>112</v>
      </c>
      <c r="B16" s="17" t="n">
        <f aca="false">B15*B7</f>
        <v>1795.5332988621</v>
      </c>
      <c r="C16" s="11" t="s">
        <v>111</v>
      </c>
    </row>
    <row r="17" customFormat="false" ht="15" hidden="false" customHeight="false" outlineLevel="0" collapsed="false">
      <c r="A17" s="11" t="s">
        <v>113</v>
      </c>
      <c r="B17" s="25" t="n">
        <f aca="false">B15/(B8-1)</f>
        <v>50.4363286197218</v>
      </c>
      <c r="C17" s="11" t="s">
        <v>111</v>
      </c>
    </row>
    <row r="18" customFormat="false" ht="15" hidden="false" customHeight="false" outlineLevel="0" collapsed="false">
      <c r="A18" s="11" t="s">
        <v>114</v>
      </c>
      <c r="B18" s="25" t="n">
        <f aca="false">B14*B9/10</f>
        <v>8.31265416139859</v>
      </c>
      <c r="C18" s="11" t="s">
        <v>111</v>
      </c>
    </row>
    <row r="19" customFormat="false" ht="15" hidden="false" customHeight="false" outlineLevel="0" collapsed="false">
      <c r="A19" s="11" t="s">
        <v>115</v>
      </c>
      <c r="B19" s="25" t="n">
        <f aca="false">(B15+B17+B18)/(B17+B18)</f>
        <v>8.64069952305247</v>
      </c>
      <c r="C19" s="11" t="s">
        <v>44</v>
      </c>
    </row>
    <row r="20" customFormat="false" ht="15" hidden="false" customHeight="false" outlineLevel="0" collapsed="false">
      <c r="A20" s="11" t="s">
        <v>116</v>
      </c>
      <c r="B20" s="26" t="n">
        <f aca="false">B6/B5</f>
        <v>0.964285714285714</v>
      </c>
      <c r="C20" s="11" t="s">
        <v>44</v>
      </c>
    </row>
    <row r="21" customFormat="false" ht="15" hidden="false" customHeight="false" outlineLevel="0" collapsed="false">
      <c r="A21" s="11" t="s">
        <v>117</v>
      </c>
      <c r="B21" s="27" t="str">
        <f aca="false">IF(ABS(B20-1)&lt;0.02,"Cuadrado",IF(B20&lt;1,"Supercuadrado (carrera corta)","Carrera larga"))</f>
        <v>Supercuadrado (carrera corta)</v>
      </c>
      <c r="C21" s="11"/>
    </row>
    <row r="22" customFormat="false" ht="15" hidden="false" customHeight="false" outlineLevel="0" collapsed="false">
      <c r="A22" s="11" t="s">
        <v>118</v>
      </c>
      <c r="B22" s="26" t="n">
        <f aca="false">B6/(B8-1)-B6/(B10-1)</f>
        <v>0.574807806031933</v>
      </c>
      <c r="C22" s="11" t="s">
        <v>99</v>
      </c>
    </row>
    <row r="23" customFormat="false" ht="15" hidden="false" customHeight="false" outlineLevel="0" collapsed="false">
      <c r="A23" s="11" t="s">
        <v>119</v>
      </c>
      <c r="B23" s="17" t="n">
        <f aca="false">B6/1000*B11/30</f>
        <v>16.2</v>
      </c>
      <c r="C23" s="11" t="s">
        <v>120</v>
      </c>
    </row>
    <row r="25" customFormat="false" ht="15" hidden="false" customHeight="false" outlineLevel="0" collapsed="false">
      <c r="A25" s="2" t="s">
        <v>121</v>
      </c>
    </row>
    <row r="27" customFormat="false" ht="15" hidden="false" customHeight="false" outlineLevel="0" collapsed="false">
      <c r="A27" s="6" t="s">
        <v>122</v>
      </c>
    </row>
    <row r="28" customFormat="false" ht="15" hidden="false" customHeight="false" outlineLevel="0" collapsed="false">
      <c r="A28" s="13" t="s">
        <v>123</v>
      </c>
      <c r="B28" s="13" t="s">
        <v>124</v>
      </c>
      <c r="C28" s="13" t="s">
        <v>125</v>
      </c>
    </row>
    <row r="29" customFormat="false" ht="15" hidden="false" customHeight="false" outlineLevel="0" collapsed="false">
      <c r="A29" s="23" t="n">
        <v>0.5</v>
      </c>
      <c r="B29" s="28" t="n">
        <f aca="false">$B$14*A29/10</f>
        <v>2.7708847204662</v>
      </c>
      <c r="C29" s="28" t="n">
        <f aca="false">($B$15+$B$17+B29)/($B$17+B29)</f>
        <v>9.43651258045641</v>
      </c>
    </row>
    <row r="30" customFormat="false" ht="15" hidden="false" customHeight="false" outlineLevel="0" collapsed="false">
      <c r="A30" s="23" t="n">
        <v>0.75</v>
      </c>
      <c r="B30" s="28" t="n">
        <f aca="false">$B$14*A30/10</f>
        <v>4.1563270806993</v>
      </c>
      <c r="C30" s="28" t="n">
        <f aca="false">($B$15+$B$17+B30)/($B$17+B30)</f>
        <v>9.2224123182207</v>
      </c>
    </row>
    <row r="31" customFormat="false" ht="15" hidden="false" customHeight="false" outlineLevel="0" collapsed="false">
      <c r="A31" s="23" t="n">
        <v>1</v>
      </c>
      <c r="B31" s="28" t="n">
        <f aca="false">$B$14*A31/10</f>
        <v>5.5417694409324</v>
      </c>
      <c r="C31" s="28" t="n">
        <f aca="false">($B$15+$B$17+B31)/($B$17+B31)</f>
        <v>9.01890989988877</v>
      </c>
    </row>
    <row r="32" customFormat="false" ht="15" hidden="false" customHeight="false" outlineLevel="0" collapsed="false">
      <c r="A32" s="23" t="n">
        <v>1.25</v>
      </c>
      <c r="B32" s="28" t="n">
        <f aca="false">$B$14*A32/10</f>
        <v>6.92721180116549</v>
      </c>
      <c r="C32" s="28" t="n">
        <f aca="false">($B$15+$B$17+B32)/($B$17+B32)</f>
        <v>8.82523744911805</v>
      </c>
    </row>
    <row r="33" customFormat="false" ht="15" hidden="false" customHeight="false" outlineLevel="0" collapsed="false">
      <c r="A33" s="23" t="n">
        <v>1.5</v>
      </c>
      <c r="B33" s="28" t="n">
        <f aca="false">$B$14*A33/10</f>
        <v>8.31265416139859</v>
      </c>
      <c r="C33" s="28" t="n">
        <f aca="false">($B$15+$B$17+B33)/($B$17+B33)</f>
        <v>8.64069952305247</v>
      </c>
    </row>
    <row r="34" customFormat="false" ht="15" hidden="false" customHeight="false" outlineLevel="0" collapsed="false">
      <c r="A34" s="23" t="n">
        <v>1.75</v>
      </c>
      <c r="B34" s="28" t="n">
        <f aca="false">$B$14*A34/10</f>
        <v>9.69809652163169</v>
      </c>
      <c r="C34" s="28" t="n">
        <f aca="false">($B$15+$B$17+B34)/($B$17+B34)</f>
        <v>8.46466476831478</v>
      </c>
    </row>
    <row r="35" customFormat="false" ht="15" hidden="false" customHeight="false" outlineLevel="0" collapsed="false">
      <c r="A35" s="23" t="n">
        <v>2</v>
      </c>
      <c r="B35" s="28" t="n">
        <f aca="false">$B$14*A35/10</f>
        <v>11.0835388818648</v>
      </c>
      <c r="C35" s="28" t="n">
        <f aca="false">($B$15+$B$17+B35)/($B$17+B35)</f>
        <v>8.29655870445344</v>
      </c>
    </row>
    <row r="36" customFormat="false" ht="15" hidden="false" customHeight="false" outlineLevel="0" collapsed="false">
      <c r="A36" s="23" t="n">
        <v>2.25</v>
      </c>
      <c r="B36" s="28" t="n">
        <f aca="false">$B$14*A36/10</f>
        <v>12.4689812420979</v>
      </c>
      <c r="C36" s="28" t="n">
        <f aca="false">($B$15+$B$17+B36)/($B$17+B36)</f>
        <v>8.1358574610245</v>
      </c>
    </row>
    <row r="37" customFormat="false" ht="15" hidden="false" customHeight="false" outlineLevel="0" collapsed="false">
      <c r="A37" s="23" t="n">
        <v>2.5</v>
      </c>
      <c r="B37" s="28" t="n">
        <f aca="false">$B$14*A37/10</f>
        <v>13.854423602331</v>
      </c>
      <c r="C37" s="28" t="n">
        <f aca="false">($B$15+$B$17+B37)/($B$17+B37)</f>
        <v>7.98208232445521</v>
      </c>
    </row>
    <row r="38" customFormat="false" ht="15" hidden="false" customHeight="false" outlineLevel="0" collapsed="false">
      <c r="A38" s="23" t="n">
        <v>2.75</v>
      </c>
      <c r="B38" s="28" t="n">
        <f aca="false">$B$14*A38/10</f>
        <v>15.2398659625641</v>
      </c>
      <c r="C38" s="28" t="n">
        <f aca="false">($B$15+$B$17+B38)/($B$17+B38)</f>
        <v>7.83479497511259</v>
      </c>
    </row>
    <row r="39" customFormat="false" ht="15" hidden="false" customHeight="false" outlineLevel="0" collapsed="false">
      <c r="A39" s="23" t="n">
        <v>3</v>
      </c>
      <c r="B39" s="28" t="n">
        <f aca="false">$B$14*A39/10</f>
        <v>16.6253083227972</v>
      </c>
      <c r="C39" s="28" t="n">
        <f aca="false">($B$15+$B$17+B39)/($B$17+B39)</f>
        <v>7.69359331476323</v>
      </c>
    </row>
    <row r="42" customFormat="false" ht="15" hidden="false" customHeight="false" outlineLevel="0" collapsed="false">
      <c r="A42" s="6" t="s">
        <v>126</v>
      </c>
    </row>
    <row r="43" customFormat="false" ht="15" hidden="false" customHeight="false" outlineLevel="0" collapsed="false">
      <c r="A43" s="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tru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</cols>
  <sheetData>
    <row r="1" customFormat="false" ht="19.7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11" t="s">
        <v>130</v>
      </c>
      <c r="B4" s="8" t="n">
        <v>1.6</v>
      </c>
      <c r="C4" s="11" t="s">
        <v>131</v>
      </c>
    </row>
    <row r="5" customFormat="false" ht="15" hidden="false" customHeight="false" outlineLevel="0" collapsed="false">
      <c r="A5" s="11" t="s">
        <v>132</v>
      </c>
      <c r="B5" s="8" t="n">
        <v>44</v>
      </c>
      <c r="C5" s="11" t="s">
        <v>133</v>
      </c>
      <c r="D5" s="2" t="s">
        <v>134</v>
      </c>
    </row>
    <row r="7" customFormat="false" ht="26.85" hidden="false" customHeight="false" outlineLevel="0" collapsed="false">
      <c r="A7" s="13" t="s">
        <v>135</v>
      </c>
      <c r="B7" s="13" t="s">
        <v>136</v>
      </c>
      <c r="C7" s="13" t="s">
        <v>137</v>
      </c>
      <c r="D7" s="13" t="s">
        <v>138</v>
      </c>
      <c r="E7" s="13" t="s">
        <v>139</v>
      </c>
      <c r="F7" s="13" t="s">
        <v>140</v>
      </c>
      <c r="G7" s="13" t="s">
        <v>141</v>
      </c>
      <c r="H7" s="13" t="s">
        <v>142</v>
      </c>
    </row>
    <row r="8" customFormat="false" ht="15" hidden="false" customHeight="false" outlineLevel="0" collapsed="false">
      <c r="A8" s="8" t="n">
        <v>1000</v>
      </c>
      <c r="B8" s="8" t="n">
        <v>170</v>
      </c>
      <c r="C8" s="8" t="n">
        <v>5.6</v>
      </c>
      <c r="D8" s="15" t="n">
        <f aca="false">B8*A8/9550</f>
        <v>17.8010471204188</v>
      </c>
      <c r="E8" s="15" t="n">
        <f aca="false">D8*1.36</f>
        <v>24.2094240837696</v>
      </c>
      <c r="F8" s="29" t="n">
        <f aca="false">4*PI()*B8/(B4/1000)/100000</f>
        <v>13.3517687777566</v>
      </c>
      <c r="G8" s="30" t="n">
        <f aca="false">IF(C8&gt;0,C8*1000/D8,"")</f>
        <v>314.588235294118</v>
      </c>
      <c r="H8" s="31" t="n">
        <f aca="false">IF(C8&gt;0,3600/(G8*B5),"")</f>
        <v>0.260080233902223</v>
      </c>
    </row>
    <row r="9" customFormat="false" ht="15" hidden="false" customHeight="false" outlineLevel="0" collapsed="false">
      <c r="A9" s="8" t="n">
        <v>1500</v>
      </c>
      <c r="B9" s="8" t="n">
        <v>182</v>
      </c>
      <c r="C9" s="8" t="n">
        <v>8.4</v>
      </c>
      <c r="D9" s="15" t="n">
        <f aca="false">B9*A9/9550</f>
        <v>28.586387434555</v>
      </c>
      <c r="E9" s="15" t="n">
        <f aca="false">D9*1.36</f>
        <v>38.8774869109948</v>
      </c>
      <c r="F9" s="29" t="n">
        <f aca="false">4*PI()*B9/(B4/1000)/100000</f>
        <v>14.2942465738336</v>
      </c>
      <c r="G9" s="30" t="n">
        <f aca="false">IF(C9&gt;0,C9*1000/D9,"")</f>
        <v>293.846153846154</v>
      </c>
      <c r="H9" s="31" t="n">
        <f aca="false">IF(C9&gt;0,3600/(G9*B5),"")</f>
        <v>0.278438838648263</v>
      </c>
    </row>
    <row r="10" customFormat="false" ht="15" hidden="false" customHeight="false" outlineLevel="0" collapsed="false">
      <c r="A10" s="8" t="n">
        <v>2000</v>
      </c>
      <c r="B10" s="8" t="n">
        <v>195</v>
      </c>
      <c r="C10" s="8" t="n">
        <v>11.2</v>
      </c>
      <c r="D10" s="15" t="n">
        <f aca="false">B10*A10/9550</f>
        <v>40.8376963350785</v>
      </c>
      <c r="E10" s="15" t="n">
        <f aca="false">D10*1.36</f>
        <v>55.5392670157068</v>
      </c>
      <c r="F10" s="29" t="n">
        <f aca="false">4*PI()*B10/(B4/1000)/100000</f>
        <v>15.3152641862502</v>
      </c>
      <c r="G10" s="30" t="n">
        <f aca="false">IF(C10&gt;0,C10*1000/D10,"")</f>
        <v>274.25641025641</v>
      </c>
      <c r="H10" s="31" t="n">
        <f aca="false">IF(C10&gt;0,3600/(G10*B5),"")</f>
        <v>0.298327327123139</v>
      </c>
    </row>
    <row r="11" customFormat="false" ht="15" hidden="false" customHeight="false" outlineLevel="0" collapsed="false">
      <c r="A11" s="8" t="n">
        <v>2500</v>
      </c>
      <c r="B11" s="8" t="n">
        <v>205</v>
      </c>
      <c r="C11" s="8" t="n">
        <v>14.2</v>
      </c>
      <c r="D11" s="15" t="n">
        <f aca="false">B11*A11/9550</f>
        <v>53.6649214659686</v>
      </c>
      <c r="E11" s="15" t="n">
        <f aca="false">D11*1.36</f>
        <v>72.9842931937173</v>
      </c>
      <c r="F11" s="29" t="n">
        <f aca="false">4*PI()*B11/(B4/1000)/100000</f>
        <v>16.1006623496477</v>
      </c>
      <c r="G11" s="30" t="n">
        <f aca="false">IF(C11&gt;0,C11*1000/D11,"")</f>
        <v>264.60487804878</v>
      </c>
      <c r="H11" s="31" t="n">
        <f aca="false">IF(C11&gt;0,3600/(G11*B5),"")</f>
        <v>0.309208894490216</v>
      </c>
    </row>
    <row r="12" customFormat="false" ht="15" hidden="false" customHeight="false" outlineLevel="0" collapsed="false">
      <c r="A12" s="8" t="n">
        <v>3000</v>
      </c>
      <c r="B12" s="8" t="n">
        <v>211</v>
      </c>
      <c r="C12" s="8" t="n">
        <v>17.3</v>
      </c>
      <c r="D12" s="15" t="n">
        <f aca="false">B12*A12/9550</f>
        <v>66.282722513089</v>
      </c>
      <c r="E12" s="15" t="n">
        <f aca="false">D12*1.36</f>
        <v>90.144502617801</v>
      </c>
      <c r="F12" s="29" t="n">
        <f aca="false">4*PI()*B12/(B4/1000)/100000</f>
        <v>16.5719012476862</v>
      </c>
      <c r="G12" s="30" t="n">
        <f aca="false">IF(C12&gt;0,C12*1000/D12,"")</f>
        <v>261.003159557662</v>
      </c>
      <c r="H12" s="31" t="n">
        <f aca="false">IF(C12&gt;0,3600/(G12*B5),"")</f>
        <v>0.313475829016186</v>
      </c>
    </row>
    <row r="13" customFormat="false" ht="15" hidden="false" customHeight="false" outlineLevel="0" collapsed="false">
      <c r="A13" s="8" t="n">
        <v>3500</v>
      </c>
      <c r="B13" s="8" t="n">
        <v>216</v>
      </c>
      <c r="C13" s="8" t="n">
        <v>20.6</v>
      </c>
      <c r="D13" s="15" t="n">
        <f aca="false">B13*A13/9550</f>
        <v>79.1623036649215</v>
      </c>
      <c r="E13" s="15" t="n">
        <f aca="false">D13*1.36</f>
        <v>107.660732984293</v>
      </c>
      <c r="F13" s="29" t="n">
        <f aca="false">4*PI()*B13/(B4/1000)/100000</f>
        <v>16.9646003293849</v>
      </c>
      <c r="G13" s="30" t="n">
        <f aca="false">IF(C13&gt;0,C13*1000/D13,"")</f>
        <v>260.224867724868</v>
      </c>
      <c r="H13" s="31" t="n">
        <f aca="false">IF(C13&gt;0,3600/(G13*B5),"")</f>
        <v>0.314413386136052</v>
      </c>
    </row>
    <row r="14" customFormat="false" ht="15" hidden="false" customHeight="false" outlineLevel="0" collapsed="false">
      <c r="A14" s="8" t="n">
        <v>4000</v>
      </c>
      <c r="B14" s="8" t="n">
        <v>219</v>
      </c>
      <c r="C14" s="8" t="n">
        <v>23.9</v>
      </c>
      <c r="D14" s="15" t="n">
        <f aca="false">B14*A14/9550</f>
        <v>91.7277486910995</v>
      </c>
      <c r="E14" s="15" t="n">
        <f aca="false">D14*1.36</f>
        <v>124.749738219895</v>
      </c>
      <c r="F14" s="29" t="n">
        <f aca="false">4*PI()*B14/(B4/1000)/100000</f>
        <v>17.2002197784041</v>
      </c>
      <c r="G14" s="30" t="n">
        <f aca="false">IF(C14&gt;0,C14*1000/D14,"")</f>
        <v>260.553652968037</v>
      </c>
      <c r="H14" s="31" t="n">
        <f aca="false">IF(C14&gt;0,3600/(G14*B5),"")</f>
        <v>0.314016636827651</v>
      </c>
    </row>
    <row r="15" customFormat="false" ht="15" hidden="false" customHeight="false" outlineLevel="0" collapsed="false">
      <c r="A15" s="8" t="n">
        <v>4200</v>
      </c>
      <c r="B15" s="8" t="n">
        <v>220</v>
      </c>
      <c r="C15" s="8" t="n">
        <v>25.2</v>
      </c>
      <c r="D15" s="15" t="n">
        <f aca="false">B15*A15/9550</f>
        <v>96.7539267015707</v>
      </c>
      <c r="E15" s="15" t="n">
        <f aca="false">D15*1.36</f>
        <v>131.585340314136</v>
      </c>
      <c r="F15" s="29" t="n">
        <f aca="false">4*PI()*B15/(B4/1000)/100000</f>
        <v>17.2787595947439</v>
      </c>
      <c r="G15" s="30" t="n">
        <f aca="false">IF(C15&gt;0,C15*1000/D15,"")</f>
        <v>260.454545454545</v>
      </c>
      <c r="H15" s="31" t="n">
        <f aca="false">IF(C15&gt;0,3600/(G15*B5),"")</f>
        <v>0.31413612565445</v>
      </c>
    </row>
    <row r="16" customFormat="false" ht="15" hidden="false" customHeight="false" outlineLevel="0" collapsed="false">
      <c r="A16" s="8" t="n">
        <v>4500</v>
      </c>
      <c r="B16" s="8" t="n">
        <v>218</v>
      </c>
      <c r="C16" s="8" t="n">
        <v>27.4</v>
      </c>
      <c r="D16" s="15" t="n">
        <f aca="false">B16*A16/9550</f>
        <v>102.722513089005</v>
      </c>
      <c r="E16" s="15" t="n">
        <f aca="false">D16*1.36</f>
        <v>139.702617801047</v>
      </c>
      <c r="F16" s="29" t="n">
        <f aca="false">4*PI()*B16/(B4/1000)/100000</f>
        <v>17.1216799620644</v>
      </c>
      <c r="G16" s="30" t="n">
        <f aca="false">IF(C16&gt;0,C16*1000/D16,"")</f>
        <v>266.738022426096</v>
      </c>
      <c r="H16" s="31" t="n">
        <f aca="false">IF(C16&gt;0,3600/(G16*B5),"")</f>
        <v>0.306736104114481</v>
      </c>
    </row>
    <row r="17" customFormat="false" ht="15" hidden="false" customHeight="false" outlineLevel="0" collapsed="false">
      <c r="A17" s="8" t="n">
        <v>5000</v>
      </c>
      <c r="B17" s="8" t="n">
        <v>210</v>
      </c>
      <c r="C17" s="8" t="n">
        <v>30.8</v>
      </c>
      <c r="D17" s="15" t="n">
        <f aca="false">B17*A17/9550</f>
        <v>109.947643979058</v>
      </c>
      <c r="E17" s="15" t="n">
        <f aca="false">D17*1.36</f>
        <v>149.528795811518</v>
      </c>
      <c r="F17" s="29" t="n">
        <f aca="false">4*PI()*B17/(B4/1000)/100000</f>
        <v>16.4933614313464</v>
      </c>
      <c r="G17" s="30" t="n">
        <f aca="false">IF(C17&gt;0,C17*1000/D17,"")</f>
        <v>280.133333333333</v>
      </c>
      <c r="H17" s="31" t="n">
        <f aca="false">IF(C17&gt;0,3600/(G17*B5),"")</f>
        <v>0.292068711868807</v>
      </c>
    </row>
    <row r="18" customFormat="false" ht="15" hidden="false" customHeight="false" outlineLevel="0" collapsed="false">
      <c r="A18" s="8" t="n">
        <v>5500</v>
      </c>
      <c r="B18" s="8" t="n">
        <v>192</v>
      </c>
      <c r="C18" s="8" t="n">
        <v>32.8</v>
      </c>
      <c r="D18" s="15" t="n">
        <f aca="false">B18*A18/9550</f>
        <v>110.575916230366</v>
      </c>
      <c r="E18" s="15" t="n">
        <f aca="false">D18*1.36</f>
        <v>150.383246073298</v>
      </c>
      <c r="F18" s="29" t="n">
        <f aca="false">4*PI()*B18/(B4/1000)/100000</f>
        <v>15.079644737231</v>
      </c>
      <c r="G18" s="30" t="n">
        <f aca="false">IF(C18&gt;0,C18*1000/D18,"")</f>
        <v>296.628787878788</v>
      </c>
      <c r="H18" s="31" t="n">
        <f aca="false">IF(C18&gt;0,3600/(G18*B5),"")</f>
        <v>0.275826842038054</v>
      </c>
    </row>
    <row r="19" customFormat="false" ht="15" hidden="false" customHeight="false" outlineLevel="0" collapsed="false">
      <c r="A19" s="8" t="n">
        <v>6000</v>
      </c>
      <c r="B19" s="8" t="n">
        <v>170</v>
      </c>
      <c r="C19" s="8" t="n">
        <v>32.1</v>
      </c>
      <c r="D19" s="15" t="n">
        <f aca="false">B19*A19/9550</f>
        <v>106.806282722513</v>
      </c>
      <c r="E19" s="15" t="n">
        <f aca="false">D19*1.36</f>
        <v>145.256544502618</v>
      </c>
      <c r="F19" s="29" t="n">
        <f aca="false">4*PI()*B19/(B4/1000)/100000</f>
        <v>13.3517687777566</v>
      </c>
      <c r="G19" s="30" t="n">
        <f aca="false">IF(C19&gt;0,C19*1000/D19,"")</f>
        <v>300.544117647059</v>
      </c>
      <c r="H19" s="31" t="n">
        <f aca="false">IF(C19&gt;0,3600/(G19*B5),"")</f>
        <v>0.272233515860271</v>
      </c>
    </row>
    <row r="20" customFormat="false" ht="15" hidden="false" customHeight="false" outlineLevel="0" collapsed="false">
      <c r="A20" s="2" t="s">
        <v>143</v>
      </c>
    </row>
    <row r="22" customFormat="false" ht="15" hidden="false" customHeight="false" outlineLevel="0" collapsed="false">
      <c r="A22" s="6" t="s">
        <v>144</v>
      </c>
    </row>
    <row r="23" customFormat="false" ht="15" hidden="false" customHeight="false" outlineLevel="0" collapsed="false">
      <c r="A23" s="11" t="s">
        <v>145</v>
      </c>
      <c r="B23" s="17" t="n">
        <f aca="false">MAX(B8:B19)</f>
        <v>220</v>
      </c>
      <c r="C23" s="11" t="s">
        <v>146</v>
      </c>
    </row>
    <row r="24" customFormat="false" ht="15" hidden="false" customHeight="false" outlineLevel="0" collapsed="false">
      <c r="A24" s="11" t="s">
        <v>147</v>
      </c>
      <c r="B24" s="19" t="n">
        <f aca="false">INDEX(A8:A19,MATCH(B23,B8:B19,0))</f>
        <v>4200</v>
      </c>
      <c r="C24" s="11" t="s">
        <v>107</v>
      </c>
    </row>
    <row r="25" customFormat="false" ht="15" hidden="false" customHeight="false" outlineLevel="0" collapsed="false">
      <c r="A25" s="11" t="s">
        <v>148</v>
      </c>
      <c r="B25" s="17" t="n">
        <f aca="false">MAX(D8:D19)</f>
        <v>110.575916230366</v>
      </c>
      <c r="C25" s="11" t="s">
        <v>149</v>
      </c>
    </row>
    <row r="26" customFormat="false" ht="15" hidden="false" customHeight="false" outlineLevel="0" collapsed="false">
      <c r="A26" s="11" t="s">
        <v>150</v>
      </c>
      <c r="B26" s="19" t="n">
        <f aca="false">INDEX(A8:A19,MATCH(B25,D8:D19,0))</f>
        <v>5500</v>
      </c>
      <c r="C26" s="11" t="s">
        <v>107</v>
      </c>
    </row>
    <row r="27" customFormat="false" ht="15" hidden="false" customHeight="false" outlineLevel="0" collapsed="false">
      <c r="A27" s="11" t="s">
        <v>151</v>
      </c>
      <c r="B27" s="17" t="n">
        <f aca="false">INDEX(B8:B19,MATCH(B25,D8:D19,0))</f>
        <v>192</v>
      </c>
      <c r="C27" s="11" t="s">
        <v>146</v>
      </c>
    </row>
    <row r="28" customFormat="false" ht="15" hidden="false" customHeight="false" outlineLevel="0" collapsed="false">
      <c r="A28" s="11" t="s">
        <v>152</v>
      </c>
      <c r="B28" s="25" t="n">
        <f aca="false">B23/B27</f>
        <v>1.14583333333333</v>
      </c>
      <c r="C28" s="11" t="s">
        <v>44</v>
      </c>
    </row>
    <row r="29" customFormat="false" ht="15" hidden="false" customHeight="false" outlineLevel="0" collapsed="false">
      <c r="A29" s="11" t="s">
        <v>153</v>
      </c>
      <c r="B29" s="25" t="n">
        <f aca="false">B26/B24</f>
        <v>1.30952380952381</v>
      </c>
      <c r="C29" s="11" t="s">
        <v>44</v>
      </c>
    </row>
    <row r="30" customFormat="false" ht="15" hidden="false" customHeight="false" outlineLevel="0" collapsed="false">
      <c r="A30" s="11" t="s">
        <v>154</v>
      </c>
      <c r="B30" s="25" t="n">
        <f aca="false">B28*B29</f>
        <v>1.50049603174603</v>
      </c>
      <c r="C30" s="11" t="s">
        <v>44</v>
      </c>
    </row>
    <row r="31" customFormat="false" ht="15" hidden="false" customHeight="false" outlineLevel="0" collapsed="false">
      <c r="A31" s="11" t="s">
        <v>155</v>
      </c>
      <c r="B31" s="19" t="n">
        <f aca="false">MIN(G8:G19)</f>
        <v>260.224867724868</v>
      </c>
      <c r="C31" s="11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true"/>
  </sheetPr>
  <dimension ref="A1:G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7" min="6" style="0" width="14"/>
  </cols>
  <sheetData>
    <row r="1" customFormat="false" ht="19.7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4" customFormat="false" ht="15" hidden="false" customHeight="false" outlineLevel="0" collapsed="false">
      <c r="A4" s="11" t="s">
        <v>101</v>
      </c>
      <c r="B4" s="8" t="n">
        <v>81</v>
      </c>
      <c r="C4" s="11" t="s">
        <v>99</v>
      </c>
    </row>
    <row r="5" customFormat="false" ht="15" hidden="false" customHeight="false" outlineLevel="0" collapsed="false">
      <c r="A5" s="11" t="s">
        <v>159</v>
      </c>
      <c r="B5" s="8" t="n">
        <v>135</v>
      </c>
      <c r="C5" s="11" t="s">
        <v>99</v>
      </c>
      <c r="D5" s="2" t="s">
        <v>160</v>
      </c>
    </row>
    <row r="6" customFormat="false" ht="15" hidden="false" customHeight="false" outlineLevel="0" collapsed="false">
      <c r="A6" s="11" t="s">
        <v>106</v>
      </c>
      <c r="B6" s="8" t="n">
        <v>6000</v>
      </c>
      <c r="C6" s="11" t="s">
        <v>107</v>
      </c>
    </row>
    <row r="8" customFormat="false" ht="15" hidden="false" customHeight="false" outlineLevel="0" collapsed="false">
      <c r="A8" s="11" t="s">
        <v>161</v>
      </c>
      <c r="B8" s="25" t="n">
        <f aca="false">B4/2</f>
        <v>40.5</v>
      </c>
      <c r="C8" s="23" t="s">
        <v>99</v>
      </c>
    </row>
    <row r="9" customFormat="false" ht="15" hidden="false" customHeight="false" outlineLevel="0" collapsed="false">
      <c r="A9" s="11" t="s">
        <v>162</v>
      </c>
      <c r="B9" s="26" t="n">
        <f aca="false">B8/B5</f>
        <v>0.3</v>
      </c>
      <c r="C9" s="23" t="s">
        <v>44</v>
      </c>
    </row>
    <row r="10" customFormat="false" ht="15" hidden="false" customHeight="false" outlineLevel="0" collapsed="false">
      <c r="A10" s="11" t="s">
        <v>163</v>
      </c>
      <c r="B10" s="17" t="n">
        <f aca="false">2*PI()*B6/60</f>
        <v>628.318530717959</v>
      </c>
      <c r="C10" s="23" t="s">
        <v>164</v>
      </c>
    </row>
    <row r="11" customFormat="false" ht="15" hidden="false" customHeight="false" outlineLevel="0" collapsed="false">
      <c r="A11" s="11" t="s">
        <v>165</v>
      </c>
      <c r="B11" s="17" t="n">
        <f aca="false">B4/1000*B6/30</f>
        <v>16.2</v>
      </c>
      <c r="C11" s="23" t="s">
        <v>120</v>
      </c>
    </row>
    <row r="12" customFormat="false" ht="15" hidden="false" customHeight="false" outlineLevel="0" collapsed="false">
      <c r="A12" s="11" t="s">
        <v>166</v>
      </c>
      <c r="B12" s="17" t="n">
        <f aca="false">MAX(D17:D89)</f>
        <v>26.4883359232931</v>
      </c>
      <c r="C12" s="23" t="s">
        <v>120</v>
      </c>
    </row>
    <row r="13" customFormat="false" ht="15" hidden="false" customHeight="false" outlineLevel="0" collapsed="false">
      <c r="A13" s="11" t="s">
        <v>167</v>
      </c>
      <c r="B13" s="25" t="n">
        <f aca="false">INDEX(C17:C89,MATCH(90,A17:A89,0))</f>
        <v>46.7182078087123</v>
      </c>
      <c r="C13" s="23" t="s">
        <v>99</v>
      </c>
    </row>
    <row r="16" customFormat="false" ht="26.85" hidden="false" customHeight="false" outlineLevel="0" collapsed="false">
      <c r="A16" s="13" t="s">
        <v>168</v>
      </c>
      <c r="B16" s="13" t="s">
        <v>169</v>
      </c>
      <c r="C16" s="13" t="s">
        <v>170</v>
      </c>
      <c r="D16" s="13" t="s">
        <v>171</v>
      </c>
      <c r="E16" s="13" t="s">
        <v>172</v>
      </c>
      <c r="F16" s="13" t="s">
        <v>173</v>
      </c>
      <c r="G16" s="13" t="s">
        <v>174</v>
      </c>
    </row>
    <row r="17" customFormat="false" ht="15" hidden="false" customHeight="false" outlineLevel="0" collapsed="false">
      <c r="A17" s="32" t="n">
        <v>0</v>
      </c>
      <c r="B17" s="33" t="n">
        <f aca="false">RADIANS(A17)</f>
        <v>0</v>
      </c>
      <c r="C17" s="34" t="n">
        <f aca="false">$B$8*((1-COS(B17))+(1/$B$9)*(1-SQRT(1-$B$9^2*SIN(B17)^2)))</f>
        <v>0</v>
      </c>
      <c r="D17" s="34" t="n">
        <f aca="false">$B$8/1000*$B$10*(SIN(B17)+$B$9/2*SIN(2*B17))</f>
        <v>0</v>
      </c>
      <c r="E17" s="32" t="n">
        <f aca="false">$B$8/1000*$B$10^2*(COS(B17)+$B$9*COS(2*B17))</f>
        <v>20785.3868686942</v>
      </c>
      <c r="F17" s="34" t="n">
        <f aca="false">$B$8*(1-COS(B17))</f>
        <v>0</v>
      </c>
      <c r="G17" s="22" t="n">
        <f aca="false">Geometria!$B$17+Geometria!$B$14*C17/10</f>
        <v>50.4363286197218</v>
      </c>
    </row>
    <row r="18" customFormat="false" ht="15" hidden="false" customHeight="false" outlineLevel="0" collapsed="false">
      <c r="A18" s="32" t="n">
        <v>5</v>
      </c>
      <c r="B18" s="33" t="n">
        <f aca="false">RADIANS(A18)</f>
        <v>0.0872664625997165</v>
      </c>
      <c r="C18" s="34" t="n">
        <f aca="false">$B$8*((1-COS(B18))+(1/$B$9)*(1-SQRT(1-$B$9^2*SIN(B18)^2)))</f>
        <v>0.200269067224895</v>
      </c>
      <c r="D18" s="34" t="n">
        <f aca="false">$B$8/1000*$B$10*(SIN(B18)+$B$9/2*SIN(2*B18))</f>
        <v>2.88066469789729</v>
      </c>
      <c r="E18" s="32" t="n">
        <f aca="false">$B$8/1000*$B$10^2*(COS(B18)+$B$9*COS(2*B18))</f>
        <v>20651.6732597488</v>
      </c>
      <c r="F18" s="34" t="n">
        <f aca="false">$B$8*(1-COS(B18))</f>
        <v>0.154114727284305</v>
      </c>
      <c r="G18" s="22" t="n">
        <f aca="false">Geometria!$B$17+Geometria!$B$14*C18/10</f>
        <v>51.5461736164328</v>
      </c>
    </row>
    <row r="19" customFormat="false" ht="15" hidden="false" customHeight="false" outlineLevel="0" collapsed="false">
      <c r="A19" s="32" t="n">
        <v>10</v>
      </c>
      <c r="B19" s="33" t="n">
        <f aca="false">RADIANS(A19)</f>
        <v>0.174532925199433</v>
      </c>
      <c r="C19" s="34" t="n">
        <f aca="false">$B$8*((1-COS(B19))+(1/$B$9)*(1-SQRT(1-$B$9^2*SIN(B19)^2)))</f>
        <v>0.798594118721296</v>
      </c>
      <c r="D19" s="34" t="n">
        <f aca="false">$B$8/1000*$B$10*(SIN(B19)+$B$9/2*SIN(2*B19))</f>
        <v>5.72431078119499</v>
      </c>
      <c r="E19" s="32" t="n">
        <f aca="false">$B$8/1000*$B$10^2*(COS(B19)+$B$9*COS(2*B19))</f>
        <v>20253.209642966</v>
      </c>
      <c r="F19" s="34" t="n">
        <f aca="false">$B$8*(1-COS(B19))</f>
        <v>0.615286003005575</v>
      </c>
      <c r="G19" s="22" t="n">
        <f aca="false">Geometria!$B$17+Geometria!$B$14*C19/10</f>
        <v>54.8619531025598</v>
      </c>
    </row>
    <row r="20" customFormat="false" ht="15" hidden="false" customHeight="false" outlineLevel="0" collapsed="false">
      <c r="A20" s="32" t="n">
        <v>15</v>
      </c>
      <c r="B20" s="33" t="n">
        <f aca="false">RADIANS(A20)</f>
        <v>0.261799387799149</v>
      </c>
      <c r="C20" s="34" t="n">
        <f aca="false">$B$8*((1-COS(B20))+(1/$B$9)*(1-SQRT(1-$B$9^2*SIN(B20)^2)))</f>
        <v>1.7875670847764</v>
      </c>
      <c r="D20" s="34" t="n">
        <f aca="false">$B$8/1000*$B$10*(SIN(B20)+$B$9/2*SIN(2*B20))</f>
        <v>8.49466002375176</v>
      </c>
      <c r="E20" s="32" t="n">
        <f aca="false">$B$8/1000*$B$10^2*(COS(B20)+$B$9*COS(2*B20))</f>
        <v>19597.9568481649</v>
      </c>
      <c r="F20" s="34" t="n">
        <f aca="false">$B$8*(1-COS(B20))</f>
        <v>1.38000403529273</v>
      </c>
      <c r="G20" s="22" t="n">
        <f aca="false">Geometria!$B$17+Geometria!$B$14*C20/10</f>
        <v>60.3426132637523</v>
      </c>
    </row>
    <row r="21" customFormat="false" ht="15" hidden="false" customHeight="false" outlineLevel="0" collapsed="false">
      <c r="A21" s="32" t="n">
        <v>20</v>
      </c>
      <c r="B21" s="33" t="n">
        <f aca="false">RADIANS(A21)</f>
        <v>0.349065850398866</v>
      </c>
      <c r="C21" s="34" t="n">
        <f aca="false">$B$8*((1-COS(B21))+(1/$B$9)*(1-SQRT(1-$B$9^2*SIN(B21)^2)))</f>
        <v>3.15496917777403</v>
      </c>
      <c r="D21" s="34" t="n">
        <f aca="false">$B$8/1000*$B$10*(SIN(B21)+$B$9/2*SIN(2*B21))</f>
        <v>11.1568954055562</v>
      </c>
      <c r="E21" s="32" t="n">
        <f aca="false">$B$8/1000*$B$10^2*(COS(B21)+$B$9*COS(2*B21))</f>
        <v>18698.9489948805</v>
      </c>
      <c r="F21" s="34" t="n">
        <f aca="false">$B$8*(1-COS(B21))</f>
        <v>2.44244885817071</v>
      </c>
      <c r="G21" s="22" t="n">
        <f aca="false">Geometria!$B$17+Geometria!$B$14*C21/10</f>
        <v>67.9204403961935</v>
      </c>
    </row>
    <row r="22" customFormat="false" ht="15" hidden="false" customHeight="false" outlineLevel="0" collapsed="false">
      <c r="A22" s="32" t="n">
        <v>25</v>
      </c>
      <c r="B22" s="33" t="n">
        <f aca="false">RADIANS(A22)</f>
        <v>0.436332312998582</v>
      </c>
      <c r="C22" s="34" t="n">
        <f aca="false">$B$8*((1-COS(B22))+(1/$B$9)*(1-SQRT(1-$B$9^2*SIN(B22)^2)))</f>
        <v>4.8839630169676</v>
      </c>
      <c r="D22" s="34" t="n">
        <f aca="false">$B$8/1000*$B$10*(SIN(B22)+$B$9/2*SIN(2*B22))</f>
        <v>13.6783433612089</v>
      </c>
      <c r="E22" s="32" t="n">
        <f aca="false">$B$8/1000*$B$10^2*(COS(B22)+$B$9*COS(2*B22))</f>
        <v>17573.9497832217</v>
      </c>
      <c r="F22" s="34" t="n">
        <f aca="false">$B$8*(1-COS(B22))</f>
        <v>3.79453462501568</v>
      </c>
      <c r="G22" s="22" t="n">
        <f aca="false">Geometria!$B$17+Geometria!$B$14*C22/10</f>
        <v>77.5021256177968</v>
      </c>
    </row>
    <row r="23" customFormat="false" ht="15" hidden="false" customHeight="false" outlineLevel="0" collapsed="false">
      <c r="A23" s="32" t="n">
        <v>30</v>
      </c>
      <c r="B23" s="33" t="n">
        <f aca="false">RADIANS(A23)</f>
        <v>0.523598775598299</v>
      </c>
      <c r="C23" s="34" t="n">
        <f aca="false">$B$8*((1-COS(B23))+(1/$B$9)*(1-SQRT(1-$B$9^2*SIN(B23)^2)))</f>
        <v>6.9533615970552</v>
      </c>
      <c r="D23" s="34" t="n">
        <f aca="false">$B$8/1000*$B$10*(SIN(B23)+$B$9/2*SIN(2*B23))</f>
        <v>16.0290995883555</v>
      </c>
      <c r="E23" s="32" t="n">
        <f aca="false">$B$8/1000*$B$10^2*(COS(B23)+$B$9*COS(2*B23))</f>
        <v>16244.9854508314</v>
      </c>
      <c r="F23" s="34" t="n">
        <f aca="false">$B$8*(1-COS(B23))</f>
        <v>5.42597114673023</v>
      </c>
      <c r="G23" s="22" t="n">
        <f aca="false">Geometria!$B$17+Geometria!$B$14*C23/10</f>
        <v>88.9702554300352</v>
      </c>
    </row>
    <row r="24" customFormat="false" ht="15" hidden="false" customHeight="false" outlineLevel="0" collapsed="false">
      <c r="A24" s="32" t="n">
        <v>35</v>
      </c>
      <c r="B24" s="33" t="n">
        <f aca="false">RADIANS(A24)</f>
        <v>0.610865238198015</v>
      </c>
      <c r="C24" s="34" t="n">
        <f aca="false">$B$8*((1-COS(B24))+(1/$B$9)*(1-SQRT(1-$B$9^2*SIN(B24)^2)))</f>
        <v>9.33797346857534</v>
      </c>
      <c r="D24" s="34" t="n">
        <f aca="false">$B$8/1000*$B$10*(SIN(B24)+$B$9/2*SIN(2*B24))</f>
        <v>18.1825821939962</v>
      </c>
      <c r="E24" s="32" t="n">
        <f aca="false">$B$8/1000*$B$10^2*(COS(B24)+$B$9*COS(2*B24))</f>
        <v>14737.7680335396</v>
      </c>
      <c r="F24" s="34" t="n">
        <f aca="false">$B$8*(1-COS(B24))</f>
        <v>7.32434220629583</v>
      </c>
      <c r="G24" s="22" t="n">
        <f aca="false">Geometria!$B$17+Geometria!$B$14*C24/10</f>
        <v>102.18522462811</v>
      </c>
    </row>
    <row r="25" customFormat="false" ht="15" hidden="false" customHeight="false" outlineLevel="0" collapsed="false">
      <c r="A25" s="32" t="n">
        <v>40</v>
      </c>
      <c r="B25" s="33" t="n">
        <f aca="false">RADIANS(A25)</f>
        <v>0.698131700797732</v>
      </c>
      <c r="C25" s="34" t="n">
        <f aca="false">$B$8*((1-COS(B25))+(1/$B$9)*(1-SQRT(1-$B$9^2*SIN(B25)^2)))</f>
        <v>12.0090224395104</v>
      </c>
      <c r="D25" s="34" t="n">
        <f aca="false">$B$8/1000*$B$10*(SIN(B25)+$B$9/2*SIN(2*B25))</f>
        <v>20.1159980770238</v>
      </c>
      <c r="E25" s="32" t="n">
        <f aca="false">$B$8/1000*$B$10^2*(COS(B25)+$B$9*COS(2*B25))</f>
        <v>13081.0257495359</v>
      </c>
      <c r="F25" s="34" t="n">
        <f aca="false">$B$8*(1-COS(B25))</f>
        <v>9.47520005368139</v>
      </c>
      <c r="G25" s="22" t="n">
        <f aca="false">Geometria!$B$17+Geometria!$B$14*C25/10</f>
        <v>116.987562190472</v>
      </c>
    </row>
    <row r="26" customFormat="false" ht="15" hidden="false" customHeight="false" outlineLevel="0" collapsed="false">
      <c r="A26" s="32" t="n">
        <v>45</v>
      </c>
      <c r="B26" s="33" t="n">
        <f aca="false">RADIANS(A26)</f>
        <v>0.785398163397448</v>
      </c>
      <c r="C26" s="34" t="n">
        <f aca="false">$B$8*((1-COS(B26))+(1/$B$9)*(1-SQRT(1-$B$9^2*SIN(B26)^2)))</f>
        <v>14.9346384335234</v>
      </c>
      <c r="D26" s="34" t="n">
        <f aca="false">$B$8/1000*$B$10*(SIN(B26)+$B$9/2*SIN(2*B26))</f>
        <v>21.810710973653</v>
      </c>
      <c r="E26" s="32" t="n">
        <f aca="false">$B$8/1000*$B$10^2*(COS(B26)+$B$9*COS(2*B26))</f>
        <v>11305.760003415</v>
      </c>
      <c r="F26" s="34" t="n">
        <f aca="false">$B$8*(1-COS(B26))</f>
        <v>11.8621753619448</v>
      </c>
      <c r="G26" s="22" t="n">
        <f aca="false">Geometria!$B$17+Geometria!$B$14*C26/10</f>
        <v>133.200651501996</v>
      </c>
    </row>
    <row r="27" customFormat="false" ht="15" hidden="false" customHeight="false" outlineLevel="0" collapsed="false">
      <c r="A27" s="32" t="n">
        <v>50</v>
      </c>
      <c r="B27" s="33" t="n">
        <f aca="false">RADIANS(A27)</f>
        <v>0.872664625997165</v>
      </c>
      <c r="C27" s="34" t="n">
        <f aca="false">$B$8*((1-COS(B27))+(1/$B$9)*(1-SQRT(1-$B$9^2*SIN(B27)^2)))</f>
        <v>18.0804137898792</v>
      </c>
      <c r="D27" s="34" t="n">
        <f aca="false">$B$8/1000*$B$10*(SIN(B27)+$B$9/2*SIN(2*B27))</f>
        <v>23.2525024525941</v>
      </c>
      <c r="E27" s="32" t="n">
        <f aca="false">$B$8/1000*$B$10^2*(COS(B27)+$B$9*COS(2*B27))</f>
        <v>9444.45059706358</v>
      </c>
      <c r="F27" s="34" t="n">
        <f aca="false">$B$8*(1-COS(B27))</f>
        <v>14.4671018076952</v>
      </c>
      <c r="G27" s="22" t="n">
        <f aca="false">Geometria!$B$17+Geometria!$B$14*C27/10</f>
        <v>150.633813239887</v>
      </c>
    </row>
    <row r="28" customFormat="false" ht="15" hidden="false" customHeight="false" outlineLevel="0" collapsed="false">
      <c r="A28" s="32" t="n">
        <v>55</v>
      </c>
      <c r="B28" s="33" t="n">
        <f aca="false">RADIANS(A28)</f>
        <v>0.959931088596881</v>
      </c>
      <c r="C28" s="34" t="n">
        <f aca="false">$B$8*((1-COS(B28))+(1/$B$9)*(1-SQRT(1-$B$9^2*SIN(B28)^2)))</f>
        <v>21.4100162797314</v>
      </c>
      <c r="D28" s="34" t="n">
        <f aca="false">$B$8/1000*$B$10*(SIN(B28)+$B$9/2*SIN(2*B28))</f>
        <v>24.4317202529657</v>
      </c>
      <c r="E28" s="32" t="n">
        <f aca="false">$B$8/1000*$B$10^2*(COS(B28)+$B$9*COS(2*B28))</f>
        <v>7530.23217657721</v>
      </c>
      <c r="F28" s="34" t="n">
        <f aca="false">$B$8*(1-COS(B28))</f>
        <v>17.2701543277826</v>
      </c>
      <c r="G28" s="22" t="n">
        <f aca="false">Geometria!$B$17+Geometria!$B$14*C28/10</f>
        <v>169.085702568602</v>
      </c>
    </row>
    <row r="29" customFormat="false" ht="15" hidden="false" customHeight="false" outlineLevel="0" collapsed="false">
      <c r="A29" s="32" t="n">
        <v>60</v>
      </c>
      <c r="B29" s="33" t="n">
        <f aca="false">RADIANS(A29)</f>
        <v>1.0471975511966</v>
      </c>
      <c r="C29" s="34" t="n">
        <f aca="false">$B$8*((1-COS(B29))+(1/$B$9)*(1-SQRT(1-$B$9^2*SIN(B29)^2)))</f>
        <v>24.8858465681612</v>
      </c>
      <c r="D29" s="34" t="n">
        <f aca="false">$B$8/1000*$B$10*(SIN(B29)+$B$9/2*SIN(2*B29))</f>
        <v>25.3433116167626</v>
      </c>
      <c r="E29" s="32" t="n">
        <f aca="false">$B$8/1000*$B$10^2*(COS(B29)+$B$9*COS(2*B29))</f>
        <v>5596.06569541767</v>
      </c>
      <c r="F29" s="34" t="n">
        <f aca="false">$B$8*(1-COS(B29))</f>
        <v>20.25</v>
      </c>
      <c r="G29" s="22" t="n">
        <f aca="false">Geometria!$B$17+Geometria!$B$14*C29/10</f>
        <v>188.34795264289</v>
      </c>
    </row>
    <row r="30" customFormat="false" ht="15" hidden="false" customHeight="false" outlineLevel="0" collapsed="false">
      <c r="A30" s="32" t="n">
        <v>65</v>
      </c>
      <c r="B30" s="33" t="n">
        <f aca="false">RADIANS(A30)</f>
        <v>1.13446401379631</v>
      </c>
      <c r="C30" s="34" t="n">
        <f aca="false">$B$8*((1-COS(B30))+(1/$B$9)*(1-SQRT(1-$B$9^2*SIN(B30)^2)))</f>
        <v>28.4697240294801</v>
      </c>
      <c r="D30" s="34" t="n">
        <f aca="false">$B$8/1000*$B$10*(SIN(B30)+$B$9/2*SIN(2*B30))</f>
        <v>25.9867425814425</v>
      </c>
      <c r="E30" s="32" t="n">
        <f aca="false">$B$8/1000*$B$10^2*(COS(B30)+$B$9*COS(2*B30))</f>
        <v>3673.92871194932</v>
      </c>
      <c r="F30" s="34" t="n">
        <f aca="false">$B$8*(1-COS(B30))</f>
        <v>23.3839603995017</v>
      </c>
      <c r="G30" s="22" t="n">
        <f aca="false">Geometria!$B$17+Geometria!$B$14*C30/10</f>
        <v>208.208975238074</v>
      </c>
    </row>
    <row r="31" customFormat="false" ht="15" hidden="false" customHeight="false" outlineLevel="0" collapsed="false">
      <c r="A31" s="32" t="n">
        <v>70</v>
      </c>
      <c r="B31" s="33" t="n">
        <f aca="false">RADIANS(A31)</f>
        <v>1.22173047639603</v>
      </c>
      <c r="C31" s="34" t="n">
        <f aca="false">$B$8*((1-COS(B31))+(1/$B$9)*(1-SQRT(1-$B$9^2*SIN(B31)^2)))</f>
        <v>32.1235811228167</v>
      </c>
      <c r="D31" s="34" t="n">
        <f aca="false">$B$8/1000*$B$10*(SIN(B31)+$B$9/2*SIN(2*B31))</f>
        <v>26.3658074675356</v>
      </c>
      <c r="E31" s="32" t="n">
        <f aca="false">$B$8/1000*$B$10^2*(COS(B31)+$B$9*COS(2*B31))</f>
        <v>1794.0476640445</v>
      </c>
      <c r="F31" s="34" t="n">
        <f aca="false">$B$8*(1-COS(B31))</f>
        <v>26.6481841953104</v>
      </c>
      <c r="G31" s="22" t="n">
        <f aca="false">Geometria!$B$17+Geometria!$B$14*C31/10</f>
        <v>228.45780881946</v>
      </c>
    </row>
    <row r="32" customFormat="false" ht="15" hidden="false" customHeight="false" outlineLevel="0" collapsed="false">
      <c r="A32" s="32" t="n">
        <v>75</v>
      </c>
      <c r="B32" s="33" t="n">
        <f aca="false">RADIANS(A32)</f>
        <v>1.30899693899575</v>
      </c>
      <c r="C32" s="34" t="n">
        <f aca="false">$B$8*((1-COS(B32))+(1/$B$9)*(1-SQRT(1-$B$9^2*SIN(B32)^2)))</f>
        <v>35.8101434695595</v>
      </c>
      <c r="D32" s="34" t="n">
        <f aca="false">$B$8/1000*$B$10*(SIN(B32)+$B$9/2*SIN(2*B32))</f>
        <v>26.4883359232931</v>
      </c>
      <c r="E32" s="32" t="n">
        <f aca="false">$B$8/1000*$B$10^2*(COS(B32)+$B$9*COS(2*B32))</f>
        <v>-15.8061040700716</v>
      </c>
      <c r="F32" s="34" t="n">
        <f aca="false">$B$8*(1-COS(B32))</f>
        <v>30.0178286733479</v>
      </c>
      <c r="G32" s="22" t="n">
        <f aca="false">Geometria!$B$17+Geometria!$B$14*C32/10</f>
        <v>248.887887374731</v>
      </c>
    </row>
    <row r="33" customFormat="false" ht="15" hidden="false" customHeight="false" outlineLevel="0" collapsed="false">
      <c r="A33" s="32" t="n">
        <v>80</v>
      </c>
      <c r="B33" s="33" t="n">
        <f aca="false">RADIANS(A33)</f>
        <v>1.39626340159546</v>
      </c>
      <c r="C33" s="34" t="n">
        <f aca="false">$B$8*((1-COS(B33))+(1/$B$9)*(1-SQRT(1-$B$9^2*SIN(B33)^2)))</f>
        <v>39.4935709109829</v>
      </c>
      <c r="D33" s="34" t="n">
        <f aca="false">$B$8/1000*$B$10*(SIN(B33)+$B$9/2*SIN(2*B33))</f>
        <v>26.3658077798243</v>
      </c>
      <c r="E33" s="32" t="n">
        <f aca="false">$B$8/1000*$B$10^2*(COS(B33)+$B$9*COS(2*B33))</f>
        <v>-1730.93680488983</v>
      </c>
      <c r="F33" s="34" t="n">
        <f aca="false">$B$8*(1-COS(B33))</f>
        <v>33.4672488044893</v>
      </c>
      <c r="G33" s="22" t="n">
        <f aca="false">Geometria!$B$17+Geometria!$B$14*C33/10</f>
        <v>269.300593007503</v>
      </c>
    </row>
    <row r="34" customFormat="false" ht="15" hidden="false" customHeight="false" outlineLevel="0" collapsed="false">
      <c r="A34" s="32" t="n">
        <v>85</v>
      </c>
      <c r="B34" s="33" t="n">
        <f aca="false">RADIANS(A34)</f>
        <v>1.48352986419518</v>
      </c>
      <c r="C34" s="34" t="n">
        <f aca="false">$B$8*((1-COS(B34))+(1/$B$9)*(1-SQRT(1-$B$9^2*SIN(B34)^2)))</f>
        <v>43.1400346855211</v>
      </c>
      <c r="D34" s="34" t="n">
        <f aca="false">$B$8/1000*$B$10*(SIN(B34)+$B$9/2*SIN(2*B34))</f>
        <v>26.0128885397783</v>
      </c>
      <c r="E34" s="32" t="n">
        <f aca="false">$B$8/1000*$B$10^2*(COS(B34)+$B$9*COS(2*B34))</f>
        <v>-3330.24400804307</v>
      </c>
      <c r="F34" s="34" t="n">
        <f aca="false">$B$8*(1-COS(B34))</f>
        <v>36.9701924187198</v>
      </c>
      <c r="G34" s="22" t="n">
        <f aca="false">Geometria!$B$17+Geometria!$B$14*C34/10</f>
        <v>289.508454520706</v>
      </c>
    </row>
    <row r="35" customFormat="false" ht="15" hidden="false" customHeight="false" outlineLevel="0" collapsed="false">
      <c r="A35" s="32" t="n">
        <v>90</v>
      </c>
      <c r="B35" s="33" t="n">
        <f aca="false">RADIANS(A35)</f>
        <v>1.5707963267949</v>
      </c>
      <c r="C35" s="34" t="n">
        <f aca="false">$B$8*((1-COS(B35))+(1/$B$9)*(1-SQRT(1-$B$9^2*SIN(B35)^2)))</f>
        <v>46.7182078087123</v>
      </c>
      <c r="D35" s="34" t="n">
        <f aca="false">$B$8/1000*$B$10*(SIN(B35)+$B$9/2*SIN(2*B35))</f>
        <v>25.4469004940773</v>
      </c>
      <c r="E35" s="32" t="n">
        <f aca="false">$B$8/1000*$B$10^2*(COS(B35)+$B$9*COS(2*B35))</f>
        <v>-4796.62773892943</v>
      </c>
      <c r="F35" s="34" t="n">
        <f aca="false">$B$8*(1-COS(B35))</f>
        <v>40.5</v>
      </c>
      <c r="G35" s="22" t="n">
        <f aca="false">Geometria!$B$17+Geometria!$B$14*C35/10</f>
        <v>309.337864989173</v>
      </c>
    </row>
    <row r="36" customFormat="false" ht="15" hidden="false" customHeight="false" outlineLevel="0" collapsed="false">
      <c r="A36" s="32" t="n">
        <v>95</v>
      </c>
      <c r="B36" s="33" t="n">
        <f aca="false">RADIANS(A36)</f>
        <v>1.65806278939461</v>
      </c>
      <c r="C36" s="34" t="n">
        <f aca="false">$B$8*((1-COS(B36))+(1/$B$9)*(1-SQRT(1-$B$9^2*SIN(B36)^2)))</f>
        <v>50.1996498480814</v>
      </c>
      <c r="D36" s="34" t="n">
        <f aca="false">$B$8/1000*$B$10*(SIN(B36)+$B$9/2*SIN(2*B36))</f>
        <v>24.6872461703578</v>
      </c>
      <c r="E36" s="32" t="n">
        <f aca="false">$B$8/1000*$B$10^2*(COS(B36)+$B$9*COS(2*B36))</f>
        <v>-6117.26836317917</v>
      </c>
      <c r="F36" s="34" t="n">
        <f aca="false">$B$8*(1-COS(B36))</f>
        <v>44.0298075812802</v>
      </c>
      <c r="G36" s="22" t="n">
        <f aca="false">Geometria!$B$17+Geometria!$B$14*C36/10</f>
        <v>328.631214093326</v>
      </c>
    </row>
    <row r="37" customFormat="false" ht="15" hidden="false" customHeight="false" outlineLevel="0" collapsed="false">
      <c r="A37" s="32" t="n">
        <v>100</v>
      </c>
      <c r="B37" s="33" t="n">
        <f aca="false">RADIANS(A37)</f>
        <v>1.74532925199433</v>
      </c>
      <c r="C37" s="34" t="n">
        <f aca="false">$B$8*((1-COS(B37))+(1/$B$9)*(1-SQRT(1-$B$9^2*SIN(B37)^2)))</f>
        <v>53.5590733020042</v>
      </c>
      <c r="D37" s="34" t="n">
        <f aca="false">$B$8/1000*$B$10*(SIN(B37)+$B$9/2*SIN(2*B37))</f>
        <v>23.7548020135708</v>
      </c>
      <c r="E37" s="32" t="n">
        <f aca="false">$B$8/1000*$B$10^2*(COS(B37)+$B$9*COS(2*B37))</f>
        <v>-7283.77457696813</v>
      </c>
      <c r="F37" s="34" t="n">
        <f aca="false">$B$8*(1-COS(B37))</f>
        <v>47.5327511955107</v>
      </c>
      <c r="G37" s="22" t="n">
        <f aca="false">Geometria!$B$17+Geometria!$B$14*C37/10</f>
        <v>347.248364329427</v>
      </c>
    </row>
    <row r="38" customFormat="false" ht="15" hidden="false" customHeight="false" outlineLevel="0" collapsed="false">
      <c r="A38" s="32" t="n">
        <v>105</v>
      </c>
      <c r="B38" s="33" t="n">
        <f aca="false">RADIANS(A38)</f>
        <v>1.83259571459405</v>
      </c>
      <c r="C38" s="34" t="n">
        <f aca="false">$B$8*((1-COS(B38))+(1/$B$9)*(1-SQRT(1-$B$9^2*SIN(B38)^2)))</f>
        <v>56.7744861228637</v>
      </c>
      <c r="D38" s="34" t="n">
        <f aca="false">$B$8/1000*$B$10*(SIN(B38)+$B$9/2*SIN(2*B38))</f>
        <v>22.6713008491815</v>
      </c>
      <c r="E38" s="32" t="n">
        <f aca="false">$B$8/1000*$B$10^2*(COS(B38)+$B$9*COS(2*B38))</f>
        <v>-8292.19684474993</v>
      </c>
      <c r="F38" s="34" t="n">
        <f aca="false">$B$8*(1-COS(B38))</f>
        <v>50.9821713266521</v>
      </c>
      <c r="G38" s="22" t="n">
        <f aca="false">Geometria!$B$17+Geometria!$B$14*C38/10</f>
        <v>365.067440840048</v>
      </c>
    </row>
    <row r="39" customFormat="false" ht="15" hidden="false" customHeight="false" outlineLevel="0" collapsed="false">
      <c r="A39" s="32" t="n">
        <v>110</v>
      </c>
      <c r="B39" s="33" t="n">
        <f aca="false">RADIANS(A39)</f>
        <v>1.91986217719376</v>
      </c>
      <c r="C39" s="34" t="n">
        <f aca="false">$B$8*((1-COS(B39))+(1/$B$9)*(1-SQRT(1-$B$9^2*SIN(B39)^2)))</f>
        <v>59.8272127321959</v>
      </c>
      <c r="D39" s="34" t="n">
        <f aca="false">$B$8/1000*$B$10*(SIN(B39)+$B$9/2*SIN(2*B39))</f>
        <v>21.4587217647799</v>
      </c>
      <c r="E39" s="32" t="n">
        <f aca="false">$B$8/1000*$B$10^2*(COS(B39)+$B$9*COS(2*B39))</f>
        <v>-9142.90771427898</v>
      </c>
      <c r="F39" s="34" t="n">
        <f aca="false">$B$8*(1-COS(B39))</f>
        <v>54.3518158046896</v>
      </c>
      <c r="G39" s="22" t="n">
        <f aca="false">Geometria!$B$17+Geometria!$B$14*C39/10</f>
        <v>381.984947875166</v>
      </c>
    </row>
    <row r="40" customFormat="false" ht="15" hidden="false" customHeight="false" outlineLevel="0" collapsed="false">
      <c r="A40" s="32" t="n">
        <v>115</v>
      </c>
      <c r="B40" s="33" t="n">
        <f aca="false">RADIANS(A40)</f>
        <v>2.00712863979348</v>
      </c>
      <c r="C40" s="34" t="n">
        <f aca="false">$B$8*((1-COS(B40))+(1/$B$9)*(1-SQRT(1-$B$9^2*SIN(B40)^2)))</f>
        <v>62.7018032304768</v>
      </c>
      <c r="D40" s="34" t="n">
        <f aca="false">$B$8/1000*$B$10*(SIN(B40)+$B$9/2*SIN(2*B40))</f>
        <v>20.1387055660156</v>
      </c>
      <c r="E40" s="32" t="n">
        <f aca="false">$B$8/1000*$B$10^2*(COS(B40)+$B$9*COS(2*B40))</f>
        <v>-9840.35446967452</v>
      </c>
      <c r="F40" s="34" t="n">
        <f aca="false">$B$8*(1-COS(B40))</f>
        <v>57.6160396004983</v>
      </c>
      <c r="G40" s="22" t="n">
        <f aca="false">Geometria!$B$17+Geometria!$B$14*C40/10</f>
        <v>397.915265653734</v>
      </c>
    </row>
    <row r="41" customFormat="false" ht="15" hidden="false" customHeight="false" outlineLevel="0" collapsed="false">
      <c r="A41" s="32" t="n">
        <v>120</v>
      </c>
      <c r="B41" s="33" t="n">
        <f aca="false">RADIANS(A41)</f>
        <v>2.0943951023932</v>
      </c>
      <c r="C41" s="34" t="n">
        <f aca="false">$B$8*((1-COS(B41))+(1/$B$9)*(1-SQRT(1-$B$9^2*SIN(B41)^2)))</f>
        <v>65.3858465681612</v>
      </c>
      <c r="D41" s="34" t="n">
        <f aca="false">$B$8/1000*$B$10*(SIN(B41)+$B$9/2*SIN(2*B41))</f>
        <v>18.7320129341289</v>
      </c>
      <c r="E41" s="32" t="n">
        <f aca="false">$B$8/1000*$B$10^2*(COS(B41)+$B$9*COS(2*B41))</f>
        <v>-10392.6934343471</v>
      </c>
      <c r="F41" s="34" t="n">
        <f aca="false">$B$8*(1-COS(B41))</f>
        <v>60.75</v>
      </c>
      <c r="G41" s="22" t="n">
        <f aca="false">Geometria!$B$17+Geometria!$B$14*C41/10</f>
        <v>412.789615000652</v>
      </c>
    </row>
    <row r="42" customFormat="false" ht="15" hidden="false" customHeight="false" outlineLevel="0" collapsed="false">
      <c r="A42" s="32" t="n">
        <v>125</v>
      </c>
      <c r="B42" s="33" t="n">
        <f aca="false">RADIANS(A42)</f>
        <v>2.18166156499291</v>
      </c>
      <c r="C42" s="34" t="n">
        <f aca="false">$B$8*((1-COS(B42))+(1/$B$9)*(1-SQRT(1-$B$9^2*SIN(B42)^2)))</f>
        <v>67.8697076241661</v>
      </c>
      <c r="D42" s="34" t="n">
        <f aca="false">$B$8/1000*$B$10*(SIN(B42)+$B$9/2*SIN(2*B42))</f>
        <v>17.2580408681183</v>
      </c>
      <c r="E42" s="32" t="n">
        <f aca="false">$B$8/1000*$B$10^2*(COS(B42)+$B$9*COS(2*B42))</f>
        <v>-10811.3187900742</v>
      </c>
      <c r="F42" s="34" t="n">
        <f aca="false">$B$8*(1-COS(B42))</f>
        <v>63.7298456722174</v>
      </c>
      <c r="G42" s="22" t="n">
        <f aca="false">Geometria!$B$17+Geometria!$B$14*C42/10</f>
        <v>426.554600296342</v>
      </c>
    </row>
    <row r="43" customFormat="false" ht="15" hidden="false" customHeight="false" outlineLevel="0" collapsed="false">
      <c r="A43" s="32" t="n">
        <v>130</v>
      </c>
      <c r="B43" s="33" t="n">
        <f aca="false">RADIANS(A43)</f>
        <v>2.26892802759263</v>
      </c>
      <c r="C43" s="34" t="n">
        <f aca="false">$B$8*((1-COS(B43))+(1/$B$9)*(1-SQRT(1-$B$9^2*SIN(B43)^2)))</f>
        <v>70.1462101744889</v>
      </c>
      <c r="D43" s="34" t="n">
        <f aca="false">$B$8/1000*$B$10*(SIN(B43)+$B$9/2*SIN(2*B43))</f>
        <v>15.7344109835849</v>
      </c>
      <c r="E43" s="32" t="n">
        <f aca="false">$B$8/1000*$B$10^2*(COS(B43)+$B$9*COS(2*B43))</f>
        <v>-11110.3019286871</v>
      </c>
      <c r="F43" s="34" t="n">
        <f aca="false">$B$8*(1-COS(B43))</f>
        <v>66.5328981923048</v>
      </c>
      <c r="G43" s="22" t="n">
        <f aca="false">Geometria!$B$17+Geometria!$B$14*C43/10</f>
        <v>439.170452561925</v>
      </c>
    </row>
    <row r="44" customFormat="false" ht="15" hidden="false" customHeight="false" outlineLevel="0" collapsed="false">
      <c r="A44" s="32" t="n">
        <v>135</v>
      </c>
      <c r="B44" s="33" t="n">
        <f aca="false">RADIANS(A44)</f>
        <v>2.35619449019235</v>
      </c>
      <c r="C44" s="34" t="n">
        <f aca="false">$B$8*((1-COS(B44))+(1/$B$9)*(1-SQRT(1-$B$9^2*SIN(B44)^2)))</f>
        <v>72.2102877096337</v>
      </c>
      <c r="D44" s="34" t="n">
        <f aca="false">$B$8/1000*$B$10*(SIN(B44)+$B$9/2*SIN(2*B44))</f>
        <v>14.1766408254298</v>
      </c>
      <c r="E44" s="32" t="n">
        <f aca="false">$B$8/1000*$B$10^2*(COS(B44)+$B$9*COS(2*B44))</f>
        <v>-11305.760003415</v>
      </c>
      <c r="F44" s="34" t="n">
        <f aca="false">$B$8*(1-COS(B44))</f>
        <v>69.1378246380552</v>
      </c>
      <c r="G44" s="22" t="n">
        <f aca="false">Geometria!$B$17+Geometria!$B$14*C44/10</f>
        <v>450.609094369906</v>
      </c>
    </row>
    <row r="45" customFormat="false" ht="15" hidden="false" customHeight="false" outlineLevel="0" collapsed="false">
      <c r="A45" s="32" t="n">
        <v>140</v>
      </c>
      <c r="B45" s="33" t="n">
        <f aca="false">RADIANS(A45)</f>
        <v>2.44346095279206</v>
      </c>
      <c r="C45" s="34" t="n">
        <f aca="false">$B$8*((1-COS(B45))+(1/$B$9)*(1-SQRT(1-$B$9^2*SIN(B45)^2)))</f>
        <v>74.0586223321476</v>
      </c>
      <c r="D45" s="34" t="n">
        <f aca="false">$B$8/1000*$B$10*(SIN(B45)+$B$9/2*SIN(2*B45))</f>
        <v>12.5979066080146</v>
      </c>
      <c r="E45" s="32" t="n">
        <f aca="false">$B$8/1000*$B$10^2*(COS(B45)+$B$9*COS(2*B45))</f>
        <v>-11415.1744179124</v>
      </c>
      <c r="F45" s="34" t="n">
        <f aca="false">$B$8*(1-COS(B45))</f>
        <v>71.5247999463186</v>
      </c>
      <c r="G45" s="22" t="n">
        <f aca="false">Geometria!$B$17+Geometria!$B$14*C45/10</f>
        <v>460.852138697571</v>
      </c>
    </row>
    <row r="46" customFormat="false" ht="15" hidden="false" customHeight="false" outlineLevel="0" collapsed="false">
      <c r="A46" s="32" t="n">
        <v>145</v>
      </c>
      <c r="B46" s="33" t="n">
        <f aca="false">RADIANS(A46)</f>
        <v>2.53072741539178</v>
      </c>
      <c r="C46" s="34" t="n">
        <f aca="false">$B$8*((1-COS(B46))+(1/$B$9)*(1-SQRT(1-$B$9^2*SIN(B46)^2)))</f>
        <v>75.6892890559837</v>
      </c>
      <c r="D46" s="34" t="n">
        <f aca="false">$B$8/1000*$B$10*(SIN(B46)+$B$9/2*SIN(2*B46))</f>
        <v>11.0089028091489</v>
      </c>
      <c r="E46" s="32" t="n">
        <f aca="false">$B$8/1000*$B$10^2*(COS(B46)+$B$9*COS(2*B46))</f>
        <v>-11456.6814200426</v>
      </c>
      <c r="F46" s="34" t="n">
        <f aca="false">$B$8*(1-COS(B46))</f>
        <v>73.6756577937042</v>
      </c>
      <c r="G46" s="22" t="n">
        <f aca="false">Geometria!$B$17+Geometria!$B$14*C46/10</f>
        <v>469.888917716071</v>
      </c>
    </row>
    <row r="47" customFormat="false" ht="15" hidden="false" customHeight="false" outlineLevel="0" collapsed="false">
      <c r="A47" s="32" t="n">
        <v>150</v>
      </c>
      <c r="B47" s="33" t="n">
        <f aca="false">RADIANS(A47)</f>
        <v>2.61799387799149</v>
      </c>
      <c r="C47" s="34" t="n">
        <f aca="false">$B$8*((1-COS(B47))+(1/$B$9)*(1-SQRT(1-$B$9^2*SIN(B47)^2)))</f>
        <v>77.1014193035947</v>
      </c>
      <c r="D47" s="34" t="n">
        <f aca="false">$B$8/1000*$B$10*(SIN(B47)+$B$9/2*SIN(2*B47))</f>
        <v>9.4178009057218</v>
      </c>
      <c r="E47" s="32" t="n">
        <f aca="false">$B$8/1000*$B$10^2*(COS(B47)+$B$9*COS(2*B47))</f>
        <v>-11448.3577119019</v>
      </c>
      <c r="F47" s="34" t="n">
        <f aca="false">$B$8*(1-COS(B47))</f>
        <v>75.5740288532698</v>
      </c>
      <c r="G47" s="22" t="n">
        <f aca="false">Geometria!$B$17+Geometria!$B$14*C47/10</f>
        <v>477.714617968898</v>
      </c>
    </row>
    <row r="48" customFormat="false" ht="15" hidden="false" customHeight="false" outlineLevel="0" collapsed="false">
      <c r="A48" s="32" t="n">
        <v>155</v>
      </c>
      <c r="B48" s="33" t="n">
        <f aca="false">RADIANS(A48)</f>
        <v>2.70526034059121</v>
      </c>
      <c r="C48" s="34" t="n">
        <f aca="false">$B$8*((1-COS(B48))+(1/$B$9)*(1-SQRT(1-$B$9^2*SIN(B48)^2)))</f>
        <v>78.2948937669362</v>
      </c>
      <c r="D48" s="34" t="n">
        <f aca="false">$B$8/1000*$B$10*(SIN(B48)+$B$9/2*SIN(2*B48))</f>
        <v>7.83030634578208</v>
      </c>
      <c r="E48" s="32" t="n">
        <f aca="false">$B$8/1000*$B$10^2*(COS(B48)+$B$9*COS(2*B48))</f>
        <v>-11407.5240254965</v>
      </c>
      <c r="F48" s="34" t="n">
        <f aca="false">$B$8*(1-COS(B48))</f>
        <v>77.2054653749843</v>
      </c>
      <c r="G48" s="22" t="n">
        <f aca="false">Geometria!$B$17+Geometria!$B$14*C48/10</f>
        <v>484.328578278377</v>
      </c>
    </row>
    <row r="49" customFormat="false" ht="15" hidden="false" customHeight="false" outlineLevel="0" collapsed="false">
      <c r="A49" s="32" t="n">
        <v>160</v>
      </c>
      <c r="B49" s="33" t="n">
        <f aca="false">RADIANS(A49)</f>
        <v>2.79252680319093</v>
      </c>
      <c r="C49" s="34" t="n">
        <f aca="false">$B$8*((1-COS(B49))+(1/$B$9)*(1-SQRT(1-$B$9^2*SIN(B49)^2)))</f>
        <v>79.2700714614326</v>
      </c>
      <c r="D49" s="34" t="n">
        <f aca="false">$B$8/1000*$B$10*(SIN(B49)+$B$9/2*SIN(2*B49))</f>
        <v>6.24980970280048</v>
      </c>
      <c r="E49" s="32" t="n">
        <f aca="false">$B$8/1000*$B$10^2*(COS(B49)+$B$9*COS(2*B49))</f>
        <v>-11350.088944646</v>
      </c>
      <c r="F49" s="34" t="n">
        <f aca="false">$B$8*(1-COS(B49))</f>
        <v>78.5575511418293</v>
      </c>
      <c r="G49" s="22" t="n">
        <f aca="false">Geometria!$B$17+Geometria!$B$14*C49/10</f>
        <v>489.732788225216</v>
      </c>
    </row>
    <row r="50" customFormat="false" ht="15" hidden="false" customHeight="false" outlineLevel="0" collapsed="false">
      <c r="A50" s="32" t="n">
        <v>165</v>
      </c>
      <c r="B50" s="33" t="n">
        <f aca="false">RADIANS(A50)</f>
        <v>2.87979326579064</v>
      </c>
      <c r="C50" s="34" t="n">
        <f aca="false">$B$8*((1-COS(B50))+(1/$B$9)*(1-SQRT(1-$B$9^2*SIN(B50)^2)))</f>
        <v>80.0275590141909</v>
      </c>
      <c r="D50" s="34" t="n">
        <f aca="false">$B$8/1000*$B$10*(SIN(B50)+$B$9/2*SIN(2*B50))</f>
        <v>4.67762494964016</v>
      </c>
      <c r="E50" s="32" t="n">
        <f aca="false">$B$8/1000*$B$10^2*(COS(B50)+$B$9*COS(2*B50))</f>
        <v>-11289.9538993449</v>
      </c>
      <c r="F50" s="34" t="n">
        <f aca="false">$B$8*(1-COS(B50))</f>
        <v>79.6199959647073</v>
      </c>
      <c r="G50" s="22" t="n">
        <f aca="false">Geometria!$B$17+Geometria!$B$14*C50/10</f>
        <v>493.930609596979</v>
      </c>
    </row>
    <row r="51" customFormat="false" ht="15" hidden="false" customHeight="false" outlineLevel="0" collapsed="false">
      <c r="A51" s="32" t="n">
        <v>170</v>
      </c>
      <c r="B51" s="33" t="n">
        <f aca="false">RADIANS(A51)</f>
        <v>2.96705972839036</v>
      </c>
      <c r="C51" s="34" t="n">
        <f aca="false">$B$8*((1-COS(B51))+(1/$B$9)*(1-SQRT(1-$B$9^2*SIN(B51)^2)))</f>
        <v>80.5680221127102</v>
      </c>
      <c r="D51" s="34" t="n">
        <f aca="false">$B$8/1000*$B$10*(SIN(B51)+$B$9/2*SIN(2*B51))</f>
        <v>3.11330501494149</v>
      </c>
      <c r="E51" s="32" t="n">
        <f aca="false">$B$8/1000*$B$10^2*(COS(B51)+$B$9*COS(2*B51))</f>
        <v>-11238.4982611081</v>
      </c>
      <c r="F51" s="34" t="n">
        <f aca="false">$B$8*(1-COS(B51))</f>
        <v>80.3847139969944</v>
      </c>
      <c r="G51" s="22" t="n">
        <f aca="false">Geometria!$B$17+Geometria!$B$14*C51/10</f>
        <v>496.925731480304</v>
      </c>
    </row>
    <row r="52" customFormat="false" ht="15" hidden="false" customHeight="false" outlineLevel="0" collapsed="false">
      <c r="A52" s="32" t="n">
        <v>175</v>
      </c>
      <c r="B52" s="33" t="n">
        <f aca="false">RADIANS(A52)</f>
        <v>3.05432619099008</v>
      </c>
      <c r="C52" s="34" t="n">
        <f aca="false">$B$8*((1-COS(B52))+(1/$B$9)*(1-SQRT(1-$B$9^2*SIN(B52)^2)))</f>
        <v>80.8920396126563</v>
      </c>
      <c r="D52" s="34" t="n">
        <f aca="false">$B$8/1000*$B$10*(SIN(B52)+$B$9/2*SIN(2*B52))</f>
        <v>1.55502232847682</v>
      </c>
      <c r="E52" s="32" t="n">
        <f aca="false">$B$8/1000*$B$10^2*(COS(B52)+$B$9*COS(2*B52))</f>
        <v>-11204.1608885265</v>
      </c>
      <c r="F52" s="34" t="n">
        <f aca="false">$B$8*(1-COS(B52))</f>
        <v>80.8458852727157</v>
      </c>
      <c r="G52" s="22" t="n">
        <f aca="false">Geometria!$B$17+Geometria!$B$14*C52/10</f>
        <v>498.721361759833</v>
      </c>
    </row>
    <row r="53" customFormat="false" ht="15" hidden="false" customHeight="false" outlineLevel="0" collapsed="false">
      <c r="A53" s="32" t="n">
        <v>180</v>
      </c>
      <c r="B53" s="33" t="n">
        <f aca="false">RADIANS(A53)</f>
        <v>3.14159265358979</v>
      </c>
      <c r="C53" s="34" t="n">
        <f aca="false">$B$8*((1-COS(B53))+(1/$B$9)*(1-SQRT(1-$B$9^2*SIN(B53)^2)))</f>
        <v>81</v>
      </c>
      <c r="D53" s="34" t="n">
        <f aca="false">$B$8/1000*$B$10*(SIN(B53)+$B$9/2*SIN(2*B53))</f>
        <v>2.18144256668051E-015</v>
      </c>
      <c r="E53" s="32" t="n">
        <f aca="false">$B$8/1000*$B$10^2*(COS(B53)+$B$9*COS(2*B53))</f>
        <v>-11192.1313908353</v>
      </c>
      <c r="F53" s="34" t="n">
        <f aca="false">$B$8*(1-COS(B53))</f>
        <v>81</v>
      </c>
      <c r="G53" s="22" t="n">
        <f aca="false">Geometria!$B$17+Geometria!$B$14*C53/10</f>
        <v>499.319653335246</v>
      </c>
    </row>
    <row r="54" customFormat="false" ht="15" hidden="false" customHeight="false" outlineLevel="0" collapsed="false">
      <c r="A54" s="32" t="n">
        <v>185</v>
      </c>
      <c r="B54" s="33" t="n">
        <f aca="false">RADIANS(A54)</f>
        <v>3.22885911618951</v>
      </c>
      <c r="C54" s="34" t="n">
        <f aca="false">$B$8*((1-COS(B54))+(1/$B$9)*(1-SQRT(1-$B$9^2*SIN(B54)^2)))</f>
        <v>80.8920396126563</v>
      </c>
      <c r="D54" s="34" t="n">
        <f aca="false">$B$8/1000*$B$10*(SIN(B54)+$B$9/2*SIN(2*B54))</f>
        <v>-1.55502232847682</v>
      </c>
      <c r="E54" s="32" t="n">
        <f aca="false">$B$8/1000*$B$10^2*(COS(B54)+$B$9*COS(2*B54))</f>
        <v>-11204.1608885265</v>
      </c>
      <c r="F54" s="34" t="n">
        <f aca="false">$B$8*(1-COS(B54))</f>
        <v>80.8458852727157</v>
      </c>
      <c r="G54" s="22" t="n">
        <f aca="false">Geometria!$B$17+Geometria!$B$14*C54/10</f>
        <v>498.721361759833</v>
      </c>
    </row>
    <row r="55" customFormat="false" ht="15" hidden="false" customHeight="false" outlineLevel="0" collapsed="false">
      <c r="A55" s="32" t="n">
        <v>190</v>
      </c>
      <c r="B55" s="33" t="n">
        <f aca="false">RADIANS(A55)</f>
        <v>3.31612557878923</v>
      </c>
      <c r="C55" s="34" t="n">
        <f aca="false">$B$8*((1-COS(B55))+(1/$B$9)*(1-SQRT(1-$B$9^2*SIN(B55)^2)))</f>
        <v>80.5680221127102</v>
      </c>
      <c r="D55" s="34" t="n">
        <f aca="false">$B$8/1000*$B$10*(SIN(B55)+$B$9/2*SIN(2*B55))</f>
        <v>-3.11330501494149</v>
      </c>
      <c r="E55" s="32" t="n">
        <f aca="false">$B$8/1000*$B$10^2*(COS(B55)+$B$9*COS(2*B55))</f>
        <v>-11238.4982611081</v>
      </c>
      <c r="F55" s="34" t="n">
        <f aca="false">$B$8*(1-COS(B55))</f>
        <v>80.3847139969944</v>
      </c>
      <c r="G55" s="22" t="n">
        <f aca="false">Geometria!$B$17+Geometria!$B$14*C55/10</f>
        <v>496.925731480304</v>
      </c>
    </row>
    <row r="56" customFormat="false" ht="15" hidden="false" customHeight="false" outlineLevel="0" collapsed="false">
      <c r="A56" s="32" t="n">
        <v>195</v>
      </c>
      <c r="B56" s="33" t="n">
        <f aca="false">RADIANS(A56)</f>
        <v>3.40339204138894</v>
      </c>
      <c r="C56" s="34" t="n">
        <f aca="false">$B$8*((1-COS(B56))+(1/$B$9)*(1-SQRT(1-$B$9^2*SIN(B56)^2)))</f>
        <v>80.0275590141909</v>
      </c>
      <c r="D56" s="34" t="n">
        <f aca="false">$B$8/1000*$B$10*(SIN(B56)+$B$9/2*SIN(2*B56))</f>
        <v>-4.67762494964015</v>
      </c>
      <c r="E56" s="32" t="n">
        <f aca="false">$B$8/1000*$B$10^2*(COS(B56)+$B$9*COS(2*B56))</f>
        <v>-11289.9538993449</v>
      </c>
      <c r="F56" s="34" t="n">
        <f aca="false">$B$8*(1-COS(B56))</f>
        <v>79.6199959647073</v>
      </c>
      <c r="G56" s="22" t="n">
        <f aca="false">Geometria!$B$17+Geometria!$B$14*C56/10</f>
        <v>493.930609596979</v>
      </c>
    </row>
    <row r="57" customFormat="false" ht="15" hidden="false" customHeight="false" outlineLevel="0" collapsed="false">
      <c r="A57" s="32" t="n">
        <v>200</v>
      </c>
      <c r="B57" s="33" t="n">
        <f aca="false">RADIANS(A57)</f>
        <v>3.49065850398866</v>
      </c>
      <c r="C57" s="34" t="n">
        <f aca="false">$B$8*((1-COS(B57))+(1/$B$9)*(1-SQRT(1-$B$9^2*SIN(B57)^2)))</f>
        <v>79.2700714614326</v>
      </c>
      <c r="D57" s="34" t="n">
        <f aca="false">$B$8/1000*$B$10*(SIN(B57)+$B$9/2*SIN(2*B57))</f>
        <v>-6.24980970280048</v>
      </c>
      <c r="E57" s="32" t="n">
        <f aca="false">$B$8/1000*$B$10^2*(COS(B57)+$B$9*COS(2*B57))</f>
        <v>-11350.088944646</v>
      </c>
      <c r="F57" s="34" t="n">
        <f aca="false">$B$8*(1-COS(B57))</f>
        <v>78.5575511418293</v>
      </c>
      <c r="G57" s="22" t="n">
        <f aca="false">Geometria!$B$17+Geometria!$B$14*C57/10</f>
        <v>489.732788225216</v>
      </c>
    </row>
    <row r="58" customFormat="false" ht="15" hidden="false" customHeight="false" outlineLevel="0" collapsed="false">
      <c r="A58" s="32" t="n">
        <v>205</v>
      </c>
      <c r="B58" s="33" t="n">
        <f aca="false">RADIANS(A58)</f>
        <v>3.57792496658838</v>
      </c>
      <c r="C58" s="34" t="n">
        <f aca="false">$B$8*((1-COS(B58))+(1/$B$9)*(1-SQRT(1-$B$9^2*SIN(B58)^2)))</f>
        <v>78.2948937669362</v>
      </c>
      <c r="D58" s="34" t="n">
        <f aca="false">$B$8/1000*$B$10*(SIN(B58)+$B$9/2*SIN(2*B58))</f>
        <v>-7.83030634578208</v>
      </c>
      <c r="E58" s="32" t="n">
        <f aca="false">$B$8/1000*$B$10^2*(COS(B58)+$B$9*COS(2*B58))</f>
        <v>-11407.5240254965</v>
      </c>
      <c r="F58" s="34" t="n">
        <f aca="false">$B$8*(1-COS(B58))</f>
        <v>77.2054653749843</v>
      </c>
      <c r="G58" s="22" t="n">
        <f aca="false">Geometria!$B$17+Geometria!$B$14*C58/10</f>
        <v>484.328578278377</v>
      </c>
    </row>
    <row r="59" customFormat="false" ht="15" hidden="false" customHeight="false" outlineLevel="0" collapsed="false">
      <c r="A59" s="32" t="n">
        <v>210</v>
      </c>
      <c r="B59" s="33" t="n">
        <f aca="false">RADIANS(A59)</f>
        <v>3.66519142918809</v>
      </c>
      <c r="C59" s="34" t="n">
        <f aca="false">$B$8*((1-COS(B59))+(1/$B$9)*(1-SQRT(1-$B$9^2*SIN(B59)^2)))</f>
        <v>77.1014193035947</v>
      </c>
      <c r="D59" s="34" t="n">
        <f aca="false">$B$8/1000*$B$10*(SIN(B59)+$B$9/2*SIN(2*B59))</f>
        <v>-9.4178009057218</v>
      </c>
      <c r="E59" s="32" t="n">
        <f aca="false">$B$8/1000*$B$10^2*(COS(B59)+$B$9*COS(2*B59))</f>
        <v>-11448.3577119019</v>
      </c>
      <c r="F59" s="34" t="n">
        <f aca="false">$B$8*(1-COS(B59))</f>
        <v>75.5740288532698</v>
      </c>
      <c r="G59" s="22" t="n">
        <f aca="false">Geometria!$B$17+Geometria!$B$14*C59/10</f>
        <v>477.714617968898</v>
      </c>
    </row>
    <row r="60" customFormat="false" ht="15" hidden="false" customHeight="false" outlineLevel="0" collapsed="false">
      <c r="A60" s="32" t="n">
        <v>215</v>
      </c>
      <c r="B60" s="33" t="n">
        <f aca="false">RADIANS(A60)</f>
        <v>3.75245789178781</v>
      </c>
      <c r="C60" s="34" t="n">
        <f aca="false">$B$8*((1-COS(B60))+(1/$B$9)*(1-SQRT(1-$B$9^2*SIN(B60)^2)))</f>
        <v>75.6892890559837</v>
      </c>
      <c r="D60" s="34" t="n">
        <f aca="false">$B$8/1000*$B$10*(SIN(B60)+$B$9/2*SIN(2*B60))</f>
        <v>-11.0089028091489</v>
      </c>
      <c r="E60" s="32" t="n">
        <f aca="false">$B$8/1000*$B$10^2*(COS(B60)+$B$9*COS(2*B60))</f>
        <v>-11456.6814200426</v>
      </c>
      <c r="F60" s="34" t="n">
        <f aca="false">$B$8*(1-COS(B60))</f>
        <v>73.6756577937042</v>
      </c>
      <c r="G60" s="22" t="n">
        <f aca="false">Geometria!$B$17+Geometria!$B$14*C60/10</f>
        <v>469.888917716071</v>
      </c>
    </row>
    <row r="61" customFormat="false" ht="15" hidden="false" customHeight="false" outlineLevel="0" collapsed="false">
      <c r="A61" s="32" t="n">
        <v>220</v>
      </c>
      <c r="B61" s="33" t="n">
        <f aca="false">RADIANS(A61)</f>
        <v>3.83972435438753</v>
      </c>
      <c r="C61" s="34" t="n">
        <f aca="false">$B$8*((1-COS(B61))+(1/$B$9)*(1-SQRT(1-$B$9^2*SIN(B61)^2)))</f>
        <v>74.0586223321476</v>
      </c>
      <c r="D61" s="34" t="n">
        <f aca="false">$B$8/1000*$B$10*(SIN(B61)+$B$9/2*SIN(2*B61))</f>
        <v>-12.5979066080145</v>
      </c>
      <c r="E61" s="32" t="n">
        <f aca="false">$B$8/1000*$B$10^2*(COS(B61)+$B$9*COS(2*B61))</f>
        <v>-11415.1744179124</v>
      </c>
      <c r="F61" s="34" t="n">
        <f aca="false">$B$8*(1-COS(B61))</f>
        <v>71.5247999463186</v>
      </c>
      <c r="G61" s="22" t="n">
        <f aca="false">Geometria!$B$17+Geometria!$B$14*C61/10</f>
        <v>460.852138697571</v>
      </c>
    </row>
    <row r="62" customFormat="false" ht="15" hidden="false" customHeight="false" outlineLevel="0" collapsed="false">
      <c r="A62" s="32" t="n">
        <v>225</v>
      </c>
      <c r="B62" s="33" t="n">
        <f aca="false">RADIANS(A62)</f>
        <v>3.92699081698724</v>
      </c>
      <c r="C62" s="34" t="n">
        <f aca="false">$B$8*((1-COS(B62))+(1/$B$9)*(1-SQRT(1-$B$9^2*SIN(B62)^2)))</f>
        <v>72.2102877096338</v>
      </c>
      <c r="D62" s="34" t="n">
        <f aca="false">$B$8/1000*$B$10*(SIN(B62)+$B$9/2*SIN(2*B62))</f>
        <v>-14.1766408254298</v>
      </c>
      <c r="E62" s="32" t="n">
        <f aca="false">$B$8/1000*$B$10^2*(COS(B62)+$B$9*COS(2*B62))</f>
        <v>-11305.760003415</v>
      </c>
      <c r="F62" s="34" t="n">
        <f aca="false">$B$8*(1-COS(B62))</f>
        <v>69.1378246380552</v>
      </c>
      <c r="G62" s="22" t="n">
        <f aca="false">Geometria!$B$17+Geometria!$B$14*C62/10</f>
        <v>450.609094369906</v>
      </c>
    </row>
    <row r="63" customFormat="false" ht="15" hidden="false" customHeight="false" outlineLevel="0" collapsed="false">
      <c r="A63" s="32" t="n">
        <v>230</v>
      </c>
      <c r="B63" s="33" t="n">
        <f aca="false">RADIANS(A63)</f>
        <v>4.01425727958696</v>
      </c>
      <c r="C63" s="34" t="n">
        <f aca="false">$B$8*((1-COS(B63))+(1/$B$9)*(1-SQRT(1-$B$9^2*SIN(B63)^2)))</f>
        <v>70.1462101744889</v>
      </c>
      <c r="D63" s="34" t="n">
        <f aca="false">$B$8/1000*$B$10*(SIN(B63)+$B$9/2*SIN(2*B63))</f>
        <v>-15.7344109835849</v>
      </c>
      <c r="E63" s="32" t="n">
        <f aca="false">$B$8/1000*$B$10^2*(COS(B63)+$B$9*COS(2*B63))</f>
        <v>-11110.3019286871</v>
      </c>
      <c r="F63" s="34" t="n">
        <f aca="false">$B$8*(1-COS(B63))</f>
        <v>66.5328981923048</v>
      </c>
      <c r="G63" s="22" t="n">
        <f aca="false">Geometria!$B$17+Geometria!$B$14*C63/10</f>
        <v>439.170452561925</v>
      </c>
    </row>
    <row r="64" customFormat="false" ht="15" hidden="false" customHeight="false" outlineLevel="0" collapsed="false">
      <c r="A64" s="32" t="n">
        <v>235</v>
      </c>
      <c r="B64" s="33" t="n">
        <f aca="false">RADIANS(A64)</f>
        <v>4.10152374218667</v>
      </c>
      <c r="C64" s="34" t="n">
        <f aca="false">$B$8*((1-COS(B64))+(1/$B$9)*(1-SQRT(1-$B$9^2*SIN(B64)^2)))</f>
        <v>67.8697076241661</v>
      </c>
      <c r="D64" s="34" t="n">
        <f aca="false">$B$8/1000*$B$10*(SIN(B64)+$B$9/2*SIN(2*B64))</f>
        <v>-17.2580408681183</v>
      </c>
      <c r="E64" s="32" t="n">
        <f aca="false">$B$8/1000*$B$10^2*(COS(B64)+$B$9*COS(2*B64))</f>
        <v>-10811.3187900742</v>
      </c>
      <c r="F64" s="34" t="n">
        <f aca="false">$B$8*(1-COS(B64))</f>
        <v>63.7298456722174</v>
      </c>
      <c r="G64" s="22" t="n">
        <f aca="false">Geometria!$B$17+Geometria!$B$14*C64/10</f>
        <v>426.554600296342</v>
      </c>
    </row>
    <row r="65" customFormat="false" ht="15" hidden="false" customHeight="false" outlineLevel="0" collapsed="false">
      <c r="A65" s="32" t="n">
        <v>240</v>
      </c>
      <c r="B65" s="33" t="n">
        <f aca="false">RADIANS(A65)</f>
        <v>4.18879020478639</v>
      </c>
      <c r="C65" s="34" t="n">
        <f aca="false">$B$8*((1-COS(B65))+(1/$B$9)*(1-SQRT(1-$B$9^2*SIN(B65)^2)))</f>
        <v>65.3858465681612</v>
      </c>
      <c r="D65" s="34" t="n">
        <f aca="false">$B$8/1000*$B$10*(SIN(B65)+$B$9/2*SIN(2*B65))</f>
        <v>-18.7320129341289</v>
      </c>
      <c r="E65" s="32" t="n">
        <f aca="false">$B$8/1000*$B$10^2*(COS(B65)+$B$9*COS(2*B65))</f>
        <v>-10392.6934343471</v>
      </c>
      <c r="F65" s="34" t="n">
        <f aca="false">$B$8*(1-COS(B65))</f>
        <v>60.75</v>
      </c>
      <c r="G65" s="22" t="n">
        <f aca="false">Geometria!$B$17+Geometria!$B$14*C65/10</f>
        <v>412.789615000652</v>
      </c>
    </row>
    <row r="66" customFormat="false" ht="15" hidden="false" customHeight="false" outlineLevel="0" collapsed="false">
      <c r="A66" s="32" t="n">
        <v>245</v>
      </c>
      <c r="B66" s="33" t="n">
        <f aca="false">RADIANS(A66)</f>
        <v>4.27605666738611</v>
      </c>
      <c r="C66" s="34" t="n">
        <f aca="false">$B$8*((1-COS(B66))+(1/$B$9)*(1-SQRT(1-$B$9^2*SIN(B66)^2)))</f>
        <v>62.7018032304768</v>
      </c>
      <c r="D66" s="34" t="n">
        <f aca="false">$B$8/1000*$B$10*(SIN(B66)+$B$9/2*SIN(2*B66))</f>
        <v>-20.1387055660156</v>
      </c>
      <c r="E66" s="32" t="n">
        <f aca="false">$B$8/1000*$B$10^2*(COS(B66)+$B$9*COS(2*B66))</f>
        <v>-9840.35446967452</v>
      </c>
      <c r="F66" s="34" t="n">
        <f aca="false">$B$8*(1-COS(B66))</f>
        <v>57.6160396004983</v>
      </c>
      <c r="G66" s="22" t="n">
        <f aca="false">Geometria!$B$17+Geometria!$B$14*C66/10</f>
        <v>397.915265653734</v>
      </c>
    </row>
    <row r="67" customFormat="false" ht="15" hidden="false" customHeight="false" outlineLevel="0" collapsed="false">
      <c r="A67" s="32" t="n">
        <v>250</v>
      </c>
      <c r="B67" s="33" t="n">
        <f aca="false">RADIANS(A67)</f>
        <v>4.36332312998582</v>
      </c>
      <c r="C67" s="34" t="n">
        <f aca="false">$B$8*((1-COS(B67))+(1/$B$9)*(1-SQRT(1-$B$9^2*SIN(B67)^2)))</f>
        <v>59.8272127321959</v>
      </c>
      <c r="D67" s="34" t="n">
        <f aca="false">$B$8/1000*$B$10*(SIN(B67)+$B$9/2*SIN(2*B67))</f>
        <v>-21.4587217647799</v>
      </c>
      <c r="E67" s="32" t="n">
        <f aca="false">$B$8/1000*$B$10^2*(COS(B67)+$B$9*COS(2*B67))</f>
        <v>-9142.90771427898</v>
      </c>
      <c r="F67" s="34" t="n">
        <f aca="false">$B$8*(1-COS(B67))</f>
        <v>54.3518158046896</v>
      </c>
      <c r="G67" s="22" t="n">
        <f aca="false">Geometria!$B$17+Geometria!$B$14*C67/10</f>
        <v>381.984947875167</v>
      </c>
    </row>
    <row r="68" customFormat="false" ht="15" hidden="false" customHeight="false" outlineLevel="0" collapsed="false">
      <c r="A68" s="32" t="n">
        <v>255</v>
      </c>
      <c r="B68" s="33" t="n">
        <f aca="false">RADIANS(A68)</f>
        <v>4.45058959258554</v>
      </c>
      <c r="C68" s="34" t="n">
        <f aca="false">$B$8*((1-COS(B68))+(1/$B$9)*(1-SQRT(1-$B$9^2*SIN(B68)^2)))</f>
        <v>56.7744861228637</v>
      </c>
      <c r="D68" s="34" t="n">
        <f aca="false">$B$8/1000*$B$10*(SIN(B68)+$B$9/2*SIN(2*B68))</f>
        <v>-22.6713008491815</v>
      </c>
      <c r="E68" s="32" t="n">
        <f aca="false">$B$8/1000*$B$10^2*(COS(B68)+$B$9*COS(2*B68))</f>
        <v>-8292.19684474992</v>
      </c>
      <c r="F68" s="34" t="n">
        <f aca="false">$B$8*(1-COS(B68))</f>
        <v>50.9821713266521</v>
      </c>
      <c r="G68" s="22" t="n">
        <f aca="false">Geometria!$B$17+Geometria!$B$14*C68/10</f>
        <v>365.067440840048</v>
      </c>
    </row>
    <row r="69" customFormat="false" ht="15" hidden="false" customHeight="false" outlineLevel="0" collapsed="false">
      <c r="A69" s="32" t="n">
        <v>260</v>
      </c>
      <c r="B69" s="33" t="n">
        <f aca="false">RADIANS(A69)</f>
        <v>4.53785605518526</v>
      </c>
      <c r="C69" s="34" t="n">
        <f aca="false">$B$8*((1-COS(B69))+(1/$B$9)*(1-SQRT(1-$B$9^2*SIN(B69)^2)))</f>
        <v>53.5590733020042</v>
      </c>
      <c r="D69" s="34" t="n">
        <f aca="false">$B$8/1000*$B$10*(SIN(B69)+$B$9/2*SIN(2*B69))</f>
        <v>-23.7548020135708</v>
      </c>
      <c r="E69" s="32" t="n">
        <f aca="false">$B$8/1000*$B$10^2*(COS(B69)+$B$9*COS(2*B69))</f>
        <v>-7283.77457696813</v>
      </c>
      <c r="F69" s="34" t="n">
        <f aca="false">$B$8*(1-COS(B69))</f>
        <v>47.5327511955107</v>
      </c>
      <c r="G69" s="22" t="n">
        <f aca="false">Geometria!$B$17+Geometria!$B$14*C69/10</f>
        <v>347.248364329427</v>
      </c>
    </row>
    <row r="70" customFormat="false" ht="15" hidden="false" customHeight="false" outlineLevel="0" collapsed="false">
      <c r="A70" s="32" t="n">
        <v>265</v>
      </c>
      <c r="B70" s="33" t="n">
        <f aca="false">RADIANS(A70)</f>
        <v>4.62512251778497</v>
      </c>
      <c r="C70" s="34" t="n">
        <f aca="false">$B$8*((1-COS(B70))+(1/$B$9)*(1-SQRT(1-$B$9^2*SIN(B70)^2)))</f>
        <v>50.1996498480814</v>
      </c>
      <c r="D70" s="34" t="n">
        <f aca="false">$B$8/1000*$B$10*(SIN(B70)+$B$9/2*SIN(2*B70))</f>
        <v>-24.6872461703578</v>
      </c>
      <c r="E70" s="32" t="n">
        <f aca="false">$B$8/1000*$B$10^2*(COS(B70)+$B$9*COS(2*B70))</f>
        <v>-6117.26836317917</v>
      </c>
      <c r="F70" s="34" t="n">
        <f aca="false">$B$8*(1-COS(B70))</f>
        <v>44.0298075812802</v>
      </c>
      <c r="G70" s="22" t="n">
        <f aca="false">Geometria!$B$17+Geometria!$B$14*C70/10</f>
        <v>328.631214093326</v>
      </c>
    </row>
    <row r="71" customFormat="false" ht="15" hidden="false" customHeight="false" outlineLevel="0" collapsed="false">
      <c r="A71" s="32" t="n">
        <v>270</v>
      </c>
      <c r="B71" s="33" t="n">
        <f aca="false">RADIANS(A71)</f>
        <v>4.71238898038469</v>
      </c>
      <c r="C71" s="34" t="n">
        <f aca="false">$B$8*((1-COS(B71))+(1/$B$9)*(1-SQRT(1-$B$9^2*SIN(B71)^2)))</f>
        <v>46.7182078087123</v>
      </c>
      <c r="D71" s="34" t="n">
        <f aca="false">$B$8/1000*$B$10*(SIN(B71)+$B$9/2*SIN(2*B71))</f>
        <v>-25.4469004940773</v>
      </c>
      <c r="E71" s="32" t="n">
        <f aca="false">$B$8/1000*$B$10^2*(COS(B71)+$B$9*COS(2*B71))</f>
        <v>-4796.62773892943</v>
      </c>
      <c r="F71" s="34" t="n">
        <f aca="false">$B$8*(1-COS(B71))</f>
        <v>40.5</v>
      </c>
      <c r="G71" s="22" t="n">
        <f aca="false">Geometria!$B$17+Geometria!$B$14*C71/10</f>
        <v>309.337864989173</v>
      </c>
    </row>
    <row r="72" customFormat="false" ht="15" hidden="false" customHeight="false" outlineLevel="0" collapsed="false">
      <c r="A72" s="32" t="n">
        <v>275</v>
      </c>
      <c r="B72" s="33" t="n">
        <f aca="false">RADIANS(A72)</f>
        <v>4.79965544298441</v>
      </c>
      <c r="C72" s="34" t="n">
        <f aca="false">$B$8*((1-COS(B72))+(1/$B$9)*(1-SQRT(1-$B$9^2*SIN(B72)^2)))</f>
        <v>43.1400346855211</v>
      </c>
      <c r="D72" s="34" t="n">
        <f aca="false">$B$8/1000*$B$10*(SIN(B72)+$B$9/2*SIN(2*B72))</f>
        <v>-26.0128885397783</v>
      </c>
      <c r="E72" s="32" t="n">
        <f aca="false">$B$8/1000*$B$10^2*(COS(B72)+$B$9*COS(2*B72))</f>
        <v>-3330.24400804307</v>
      </c>
      <c r="F72" s="34" t="n">
        <f aca="false">$B$8*(1-COS(B72))</f>
        <v>36.9701924187199</v>
      </c>
      <c r="G72" s="22" t="n">
        <f aca="false">Geometria!$B$17+Geometria!$B$14*C72/10</f>
        <v>289.508454520706</v>
      </c>
    </row>
    <row r="73" customFormat="false" ht="15" hidden="false" customHeight="false" outlineLevel="0" collapsed="false">
      <c r="A73" s="32" t="n">
        <v>280</v>
      </c>
      <c r="B73" s="33" t="n">
        <f aca="false">RADIANS(A73)</f>
        <v>4.88692190558412</v>
      </c>
      <c r="C73" s="34" t="n">
        <f aca="false">$B$8*((1-COS(B73))+(1/$B$9)*(1-SQRT(1-$B$9^2*SIN(B73)^2)))</f>
        <v>39.4935709109829</v>
      </c>
      <c r="D73" s="34" t="n">
        <f aca="false">$B$8/1000*$B$10*(SIN(B73)+$B$9/2*SIN(2*B73))</f>
        <v>-26.3658077798243</v>
      </c>
      <c r="E73" s="32" t="n">
        <f aca="false">$B$8/1000*$B$10^2*(COS(B73)+$B$9*COS(2*B73))</f>
        <v>-1730.93680488984</v>
      </c>
      <c r="F73" s="34" t="n">
        <f aca="false">$B$8*(1-COS(B73))</f>
        <v>33.4672488044893</v>
      </c>
      <c r="G73" s="22" t="n">
        <f aca="false">Geometria!$B$17+Geometria!$B$14*C73/10</f>
        <v>269.300593007503</v>
      </c>
    </row>
    <row r="74" customFormat="false" ht="15" hidden="false" customHeight="false" outlineLevel="0" collapsed="false">
      <c r="A74" s="32" t="n">
        <v>285</v>
      </c>
      <c r="B74" s="33" t="n">
        <f aca="false">RADIANS(A74)</f>
        <v>4.97418836818384</v>
      </c>
      <c r="C74" s="34" t="n">
        <f aca="false">$B$8*((1-COS(B74))+(1/$B$9)*(1-SQRT(1-$B$9^2*SIN(B74)^2)))</f>
        <v>35.8101434695595</v>
      </c>
      <c r="D74" s="34" t="n">
        <f aca="false">$B$8/1000*$B$10*(SIN(B74)+$B$9/2*SIN(2*B74))</f>
        <v>-26.4883359232931</v>
      </c>
      <c r="E74" s="32" t="n">
        <f aca="false">$B$8/1000*$B$10^2*(COS(B74)+$B$9*COS(2*B74))</f>
        <v>-15.8061040700805</v>
      </c>
      <c r="F74" s="34" t="n">
        <f aca="false">$B$8*(1-COS(B74))</f>
        <v>30.0178286733479</v>
      </c>
      <c r="G74" s="22" t="n">
        <f aca="false">Geometria!$B$17+Geometria!$B$14*C74/10</f>
        <v>248.887887374731</v>
      </c>
    </row>
    <row r="75" customFormat="false" ht="15" hidden="false" customHeight="false" outlineLevel="0" collapsed="false">
      <c r="A75" s="32" t="n">
        <v>290</v>
      </c>
      <c r="B75" s="33" t="n">
        <f aca="false">RADIANS(A75)</f>
        <v>5.06145483078356</v>
      </c>
      <c r="C75" s="34" t="n">
        <f aca="false">$B$8*((1-COS(B75))+(1/$B$9)*(1-SQRT(1-$B$9^2*SIN(B75)^2)))</f>
        <v>32.1235811228167</v>
      </c>
      <c r="D75" s="34" t="n">
        <f aca="false">$B$8/1000*$B$10*(SIN(B75)+$B$9/2*SIN(2*B75))</f>
        <v>-26.3658074675356</v>
      </c>
      <c r="E75" s="32" t="n">
        <f aca="false">$B$8/1000*$B$10^2*(COS(B75)+$B$9*COS(2*B75))</f>
        <v>1794.04766404451</v>
      </c>
      <c r="F75" s="34" t="n">
        <f aca="false">$B$8*(1-COS(B75))</f>
        <v>26.6481841953104</v>
      </c>
      <c r="G75" s="22" t="n">
        <f aca="false">Geometria!$B$17+Geometria!$B$14*C75/10</f>
        <v>228.45780881946</v>
      </c>
    </row>
    <row r="76" customFormat="false" ht="15" hidden="false" customHeight="false" outlineLevel="0" collapsed="false">
      <c r="A76" s="32" t="n">
        <v>295</v>
      </c>
      <c r="B76" s="33" t="n">
        <f aca="false">RADIANS(A76)</f>
        <v>5.14872129338327</v>
      </c>
      <c r="C76" s="34" t="n">
        <f aca="false">$B$8*((1-COS(B76))+(1/$B$9)*(1-SQRT(1-$B$9^2*SIN(B76)^2)))</f>
        <v>28.4697240294802</v>
      </c>
      <c r="D76" s="34" t="n">
        <f aca="false">$B$8/1000*$B$10*(SIN(B76)+$B$9/2*SIN(2*B76))</f>
        <v>-25.9867425814425</v>
      </c>
      <c r="E76" s="32" t="n">
        <f aca="false">$B$8/1000*$B$10^2*(COS(B76)+$B$9*COS(2*B76))</f>
        <v>3673.92871194931</v>
      </c>
      <c r="F76" s="34" t="n">
        <f aca="false">$B$8*(1-COS(B76))</f>
        <v>23.3839603995017</v>
      </c>
      <c r="G76" s="22" t="n">
        <f aca="false">Geometria!$B$17+Geometria!$B$14*C76/10</f>
        <v>208.208975238074</v>
      </c>
    </row>
    <row r="77" customFormat="false" ht="15" hidden="false" customHeight="false" outlineLevel="0" collapsed="false">
      <c r="A77" s="32" t="n">
        <v>300</v>
      </c>
      <c r="B77" s="33" t="n">
        <f aca="false">RADIANS(A77)</f>
        <v>5.23598775598299</v>
      </c>
      <c r="C77" s="34" t="n">
        <f aca="false">$B$8*((1-COS(B77))+(1/$B$9)*(1-SQRT(1-$B$9^2*SIN(B77)^2)))</f>
        <v>24.8858465681612</v>
      </c>
      <c r="D77" s="34" t="n">
        <f aca="false">$B$8/1000*$B$10*(SIN(B77)+$B$9/2*SIN(2*B77))</f>
        <v>-25.3433116167626</v>
      </c>
      <c r="E77" s="32" t="n">
        <f aca="false">$B$8/1000*$B$10^2*(COS(B77)+$B$9*COS(2*B77))</f>
        <v>5596.06569541767</v>
      </c>
      <c r="F77" s="34" t="n">
        <f aca="false">$B$8*(1-COS(B77))</f>
        <v>20.25</v>
      </c>
      <c r="G77" s="22" t="n">
        <f aca="false">Geometria!$B$17+Geometria!$B$14*C77/10</f>
        <v>188.34795264289</v>
      </c>
    </row>
    <row r="78" customFormat="false" ht="15" hidden="false" customHeight="false" outlineLevel="0" collapsed="false">
      <c r="A78" s="32" t="n">
        <v>305</v>
      </c>
      <c r="B78" s="33" t="n">
        <f aca="false">RADIANS(A78)</f>
        <v>5.32325421858271</v>
      </c>
      <c r="C78" s="34" t="n">
        <f aca="false">$B$8*((1-COS(B78))+(1/$B$9)*(1-SQRT(1-$B$9^2*SIN(B78)^2)))</f>
        <v>21.4100162797314</v>
      </c>
      <c r="D78" s="34" t="n">
        <f aca="false">$B$8/1000*$B$10*(SIN(B78)+$B$9/2*SIN(2*B78))</f>
        <v>-24.4317202529657</v>
      </c>
      <c r="E78" s="32" t="n">
        <f aca="false">$B$8/1000*$B$10^2*(COS(B78)+$B$9*COS(2*B78))</f>
        <v>7530.2321765772</v>
      </c>
      <c r="F78" s="34" t="n">
        <f aca="false">$B$8*(1-COS(B78))</f>
        <v>17.2701543277826</v>
      </c>
      <c r="G78" s="22" t="n">
        <f aca="false">Geometria!$B$17+Geometria!$B$14*C78/10</f>
        <v>169.085702568602</v>
      </c>
    </row>
    <row r="79" customFormat="false" ht="15" hidden="false" customHeight="false" outlineLevel="0" collapsed="false">
      <c r="A79" s="32" t="n">
        <v>310</v>
      </c>
      <c r="B79" s="33" t="n">
        <f aca="false">RADIANS(A79)</f>
        <v>5.41052068118242</v>
      </c>
      <c r="C79" s="34" t="n">
        <f aca="false">$B$8*((1-COS(B79))+(1/$B$9)*(1-SQRT(1-$B$9^2*SIN(B79)^2)))</f>
        <v>18.0804137898792</v>
      </c>
      <c r="D79" s="34" t="n">
        <f aca="false">$B$8/1000*$B$10*(SIN(B79)+$B$9/2*SIN(2*B79))</f>
        <v>-23.2525024525941</v>
      </c>
      <c r="E79" s="32" t="n">
        <f aca="false">$B$8/1000*$B$10^2*(COS(B79)+$B$9*COS(2*B79))</f>
        <v>9444.45059706358</v>
      </c>
      <c r="F79" s="34" t="n">
        <f aca="false">$B$8*(1-COS(B79))</f>
        <v>14.4671018076952</v>
      </c>
      <c r="G79" s="22" t="n">
        <f aca="false">Geometria!$B$17+Geometria!$B$14*C79/10</f>
        <v>150.633813239887</v>
      </c>
    </row>
    <row r="80" customFormat="false" ht="15" hidden="false" customHeight="false" outlineLevel="0" collapsed="false">
      <c r="A80" s="32" t="n">
        <v>315</v>
      </c>
      <c r="B80" s="33" t="n">
        <f aca="false">RADIANS(A80)</f>
        <v>5.49778714378214</v>
      </c>
      <c r="C80" s="34" t="n">
        <f aca="false">$B$8*((1-COS(B80))+(1/$B$9)*(1-SQRT(1-$B$9^2*SIN(B80)^2)))</f>
        <v>14.9346384335234</v>
      </c>
      <c r="D80" s="34" t="n">
        <f aca="false">$B$8/1000*$B$10*(SIN(B80)+$B$9/2*SIN(2*B80))</f>
        <v>-21.810710973653</v>
      </c>
      <c r="E80" s="32" t="n">
        <f aca="false">$B$8/1000*$B$10^2*(COS(B80)+$B$9*COS(2*B80))</f>
        <v>11305.760003415</v>
      </c>
      <c r="F80" s="34" t="n">
        <f aca="false">$B$8*(1-COS(B80))</f>
        <v>11.8621753619448</v>
      </c>
      <c r="G80" s="22" t="n">
        <f aca="false">Geometria!$B$17+Geometria!$B$14*C80/10</f>
        <v>133.200651501996</v>
      </c>
    </row>
    <row r="81" customFormat="false" ht="15" hidden="false" customHeight="false" outlineLevel="0" collapsed="false">
      <c r="A81" s="32" t="n">
        <v>320</v>
      </c>
      <c r="B81" s="33" t="n">
        <f aca="false">RADIANS(A81)</f>
        <v>5.58505360638185</v>
      </c>
      <c r="C81" s="34" t="n">
        <f aca="false">$B$8*((1-COS(B81))+(1/$B$9)*(1-SQRT(1-$B$9^2*SIN(B81)^2)))</f>
        <v>12.0090224395104</v>
      </c>
      <c r="D81" s="34" t="n">
        <f aca="false">$B$8/1000*$B$10*(SIN(B81)+$B$9/2*SIN(2*B81))</f>
        <v>-20.1159980770238</v>
      </c>
      <c r="E81" s="32" t="n">
        <f aca="false">$B$8/1000*$B$10^2*(COS(B81)+$B$9*COS(2*B81))</f>
        <v>13081.0257495359</v>
      </c>
      <c r="F81" s="34" t="n">
        <f aca="false">$B$8*(1-COS(B81))</f>
        <v>9.4752000536814</v>
      </c>
      <c r="G81" s="22" t="n">
        <f aca="false">Geometria!$B$17+Geometria!$B$14*C81/10</f>
        <v>116.987562190472</v>
      </c>
    </row>
    <row r="82" customFormat="false" ht="15" hidden="false" customHeight="false" outlineLevel="0" collapsed="false">
      <c r="A82" s="32" t="n">
        <v>325</v>
      </c>
      <c r="B82" s="33" t="n">
        <f aca="false">RADIANS(A82)</f>
        <v>5.67232006898157</v>
      </c>
      <c r="C82" s="34" t="n">
        <f aca="false">$B$8*((1-COS(B82))+(1/$B$9)*(1-SQRT(1-$B$9^2*SIN(B82)^2)))</f>
        <v>9.33797346857535</v>
      </c>
      <c r="D82" s="34" t="n">
        <f aca="false">$B$8/1000*$B$10*(SIN(B82)+$B$9/2*SIN(2*B82))</f>
        <v>-18.1825821939962</v>
      </c>
      <c r="E82" s="32" t="n">
        <f aca="false">$B$8/1000*$B$10^2*(COS(B82)+$B$9*COS(2*B82))</f>
        <v>14737.7680335396</v>
      </c>
      <c r="F82" s="34" t="n">
        <f aca="false">$B$8*(1-COS(B82))</f>
        <v>7.32434220629584</v>
      </c>
      <c r="G82" s="22" t="n">
        <f aca="false">Geometria!$B$17+Geometria!$B$14*C82/10</f>
        <v>102.18522462811</v>
      </c>
    </row>
    <row r="83" customFormat="false" ht="15" hidden="false" customHeight="false" outlineLevel="0" collapsed="false">
      <c r="A83" s="32" t="n">
        <v>330</v>
      </c>
      <c r="B83" s="33" t="n">
        <f aca="false">RADIANS(A83)</f>
        <v>5.75958653158129</v>
      </c>
      <c r="C83" s="34" t="n">
        <f aca="false">$B$8*((1-COS(B83))+(1/$B$9)*(1-SQRT(1-$B$9^2*SIN(B83)^2)))</f>
        <v>6.95336159705523</v>
      </c>
      <c r="D83" s="34" t="n">
        <f aca="false">$B$8/1000*$B$10*(SIN(B83)+$B$9/2*SIN(2*B83))</f>
        <v>-16.0290995883555</v>
      </c>
      <c r="E83" s="32" t="n">
        <f aca="false">$B$8/1000*$B$10^2*(COS(B83)+$B$9*COS(2*B83))</f>
        <v>16244.9854508314</v>
      </c>
      <c r="F83" s="34" t="n">
        <f aca="false">$B$8*(1-COS(B83))</f>
        <v>5.42597114673025</v>
      </c>
      <c r="G83" s="22" t="n">
        <f aca="false">Geometria!$B$17+Geometria!$B$14*C83/10</f>
        <v>88.9702554300353</v>
      </c>
    </row>
    <row r="84" customFormat="false" ht="15" hidden="false" customHeight="false" outlineLevel="0" collapsed="false">
      <c r="A84" s="32" t="n">
        <v>335</v>
      </c>
      <c r="B84" s="33" t="n">
        <f aca="false">RADIANS(A84)</f>
        <v>5.846852994181</v>
      </c>
      <c r="C84" s="34" t="n">
        <f aca="false">$B$8*((1-COS(B84))+(1/$B$9)*(1-SQRT(1-$B$9^2*SIN(B84)^2)))</f>
        <v>4.88396301696759</v>
      </c>
      <c r="D84" s="34" t="n">
        <f aca="false">$B$8/1000*$B$10*(SIN(B84)+$B$9/2*SIN(2*B84))</f>
        <v>-13.6783433612089</v>
      </c>
      <c r="E84" s="32" t="n">
        <f aca="false">$B$8/1000*$B$10^2*(COS(B84)+$B$9*COS(2*B84))</f>
        <v>17573.9497832217</v>
      </c>
      <c r="F84" s="34" t="n">
        <f aca="false">$B$8*(1-COS(B84))</f>
        <v>3.79453462501567</v>
      </c>
      <c r="G84" s="22" t="n">
        <f aca="false">Geometria!$B$17+Geometria!$B$14*C84/10</f>
        <v>77.5021256177968</v>
      </c>
    </row>
    <row r="85" customFormat="false" ht="15" hidden="false" customHeight="false" outlineLevel="0" collapsed="false">
      <c r="A85" s="32" t="n">
        <v>340</v>
      </c>
      <c r="B85" s="33" t="n">
        <f aca="false">RADIANS(A85)</f>
        <v>5.93411945678072</v>
      </c>
      <c r="C85" s="34" t="n">
        <f aca="false">$B$8*((1-COS(B85))+(1/$B$9)*(1-SQRT(1-$B$9^2*SIN(B85)^2)))</f>
        <v>3.15496917777404</v>
      </c>
      <c r="D85" s="34" t="n">
        <f aca="false">$B$8/1000*$B$10*(SIN(B85)+$B$9/2*SIN(2*B85))</f>
        <v>-11.1568954055563</v>
      </c>
      <c r="E85" s="32" t="n">
        <f aca="false">$B$8/1000*$B$10^2*(COS(B85)+$B$9*COS(2*B85))</f>
        <v>18698.9489948805</v>
      </c>
      <c r="F85" s="34" t="n">
        <f aca="false">$B$8*(1-COS(B85))</f>
        <v>2.44244885817072</v>
      </c>
      <c r="G85" s="22" t="n">
        <f aca="false">Geometria!$B$17+Geometria!$B$14*C85/10</f>
        <v>67.9204403961936</v>
      </c>
    </row>
    <row r="86" customFormat="false" ht="15" hidden="false" customHeight="false" outlineLevel="0" collapsed="false">
      <c r="A86" s="32" t="n">
        <v>345</v>
      </c>
      <c r="B86" s="33" t="n">
        <f aca="false">RADIANS(A86)</f>
        <v>6.02138591938044</v>
      </c>
      <c r="C86" s="34" t="n">
        <f aca="false">$B$8*((1-COS(B86))+(1/$B$9)*(1-SQRT(1-$B$9^2*SIN(B86)^2)))</f>
        <v>1.7875670847764</v>
      </c>
      <c r="D86" s="34" t="n">
        <f aca="false">$B$8/1000*$B$10*(SIN(B86)+$B$9/2*SIN(2*B86))</f>
        <v>-8.49466002375176</v>
      </c>
      <c r="E86" s="32" t="n">
        <f aca="false">$B$8/1000*$B$10^2*(COS(B86)+$B$9*COS(2*B86))</f>
        <v>19597.9568481649</v>
      </c>
      <c r="F86" s="34" t="n">
        <f aca="false">$B$8*(1-COS(B86))</f>
        <v>1.38000403529273</v>
      </c>
      <c r="G86" s="22" t="n">
        <f aca="false">Geometria!$B$17+Geometria!$B$14*C86/10</f>
        <v>60.3426132637523</v>
      </c>
    </row>
    <row r="87" customFormat="false" ht="15" hidden="false" customHeight="false" outlineLevel="0" collapsed="false">
      <c r="A87" s="32" t="n">
        <v>350</v>
      </c>
      <c r="B87" s="33" t="n">
        <f aca="false">RADIANS(A87)</f>
        <v>6.10865238198015</v>
      </c>
      <c r="C87" s="34" t="n">
        <f aca="false">$B$8*((1-COS(B87))+(1/$B$9)*(1-SQRT(1-$B$9^2*SIN(B87)^2)))</f>
        <v>0.798594118721296</v>
      </c>
      <c r="D87" s="34" t="n">
        <f aca="false">$B$8/1000*$B$10*(SIN(B87)+$B$9/2*SIN(2*B87))</f>
        <v>-5.72431078119499</v>
      </c>
      <c r="E87" s="32" t="n">
        <f aca="false">$B$8/1000*$B$10^2*(COS(B87)+$B$9*COS(2*B87))</f>
        <v>20253.209642966</v>
      </c>
      <c r="F87" s="34" t="n">
        <f aca="false">$B$8*(1-COS(B87))</f>
        <v>0.615286003005575</v>
      </c>
      <c r="G87" s="22" t="n">
        <f aca="false">Geometria!$B$17+Geometria!$B$14*C87/10</f>
        <v>54.8619531025598</v>
      </c>
    </row>
    <row r="88" customFormat="false" ht="15" hidden="false" customHeight="false" outlineLevel="0" collapsed="false">
      <c r="A88" s="32" t="n">
        <v>355</v>
      </c>
      <c r="B88" s="33" t="n">
        <f aca="false">RADIANS(A88)</f>
        <v>6.19591884457987</v>
      </c>
      <c r="C88" s="34" t="n">
        <f aca="false">$B$8*((1-COS(B88))+(1/$B$9)*(1-SQRT(1-$B$9^2*SIN(B88)^2)))</f>
        <v>0.200269067224895</v>
      </c>
      <c r="D88" s="34" t="n">
        <f aca="false">$B$8/1000*$B$10*(SIN(B88)+$B$9/2*SIN(2*B88))</f>
        <v>-2.8806646978973</v>
      </c>
      <c r="E88" s="32" t="n">
        <f aca="false">$B$8/1000*$B$10^2*(COS(B88)+$B$9*COS(2*B88))</f>
        <v>20651.6732597488</v>
      </c>
      <c r="F88" s="34" t="n">
        <f aca="false">$B$8*(1-COS(B88))</f>
        <v>0.154114727284305</v>
      </c>
      <c r="G88" s="22" t="n">
        <f aca="false">Geometria!$B$17+Geometria!$B$14*C88/10</f>
        <v>51.5461736164328</v>
      </c>
    </row>
    <row r="89" customFormat="false" ht="15" hidden="false" customHeight="false" outlineLevel="0" collapsed="false">
      <c r="A89" s="32" t="n">
        <v>360</v>
      </c>
      <c r="B89" s="33" t="n">
        <f aca="false">RADIANS(A89)</f>
        <v>6.28318530717959</v>
      </c>
      <c r="C89" s="34" t="n">
        <f aca="false">$B$8*((1-COS(B89))+(1/$B$9)*(1-SQRT(1-$B$9^2*SIN(B89)^2)))</f>
        <v>0</v>
      </c>
      <c r="D89" s="34" t="n">
        <f aca="false">$B$8/1000*$B$10*(SIN(B89)+$B$9/2*SIN(2*B89))</f>
        <v>-8.10250096195618E-015</v>
      </c>
      <c r="E89" s="32" t="n">
        <f aca="false">$B$8/1000*$B$10^2*(COS(B89)+$B$9*COS(2*B89))</f>
        <v>20785.3868686942</v>
      </c>
      <c r="F89" s="34" t="n">
        <f aca="false">$B$8*(1-COS(B89))</f>
        <v>0</v>
      </c>
      <c r="G89" s="22" t="n">
        <f aca="false">Geometria!$B$17+Geometria!$B$14*C89/10</f>
        <v>50.4363286197218</v>
      </c>
    </row>
    <row r="91" customFormat="false" ht="15" hidden="false" customHeight="false" outlineLevel="0" collapsed="false">
      <c r="A91" s="2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2026-10-15T12:26:14Z</dcterms:created>
  <dc:creator>openpyxl</dc:creator>
  <dc:description/>
  <dc:language>en-US</dc:language>
  <cp:lastModifiedBy/>
  <dcterms:modified xsi:type="dcterms:W3CDTF">2026-10-15T07:26:16Z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