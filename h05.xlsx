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eño (Parte 1)" sheetId="1" state="visible" r:id="rId3"/>
    <sheet name="Alambre" sheetId="2" state="visible" r:id="rId4"/>
    <sheet name="Puesta en marcha (Parte 3)" sheetId="3" state="visible" r:id="rId5"/>
    <sheet name="Inducidos (Parte 4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<sst xmlns="http://schemas.openxmlformats.org/spreadsheetml/2006/main" count="135" uniqueCount="129">
  <si>
    <t xml:space="preserve">Práctica 26 — Zumbador (growler) para inducidos de motores de arranque: memoria de cálculo</t>
  </si>
  <si>
    <t xml:space="preserve">Celdas amarillas con texto azul = datos (mida su núcleo). Texto negro = fórmulas. Ecuaciones (1) a (6) de la Parte 1.</t>
  </si>
  <si>
    <t xml:space="preserve">Dato</t>
  </si>
  <si>
    <t xml:space="preserve">Valor</t>
  </si>
  <si>
    <t xml:space="preserve">Comentario</t>
  </si>
  <si>
    <t xml:space="preserve">Tensión de la red V (V)</t>
  </si>
  <si>
    <t xml:space="preserve">Ecuador: 120 V; use la tensión mínima medida en el tomacorriente del taller</t>
  </si>
  <si>
    <t xml:space="preserve">Frecuencia f (Hz)</t>
  </si>
  <si>
    <t xml:space="preserve">Ancho de la torre a (cm)</t>
  </si>
  <si>
    <t xml:space="preserve">Parte más estrecha de la columna; chapa EI-96: 3,2 cm</t>
  </si>
  <si>
    <t xml:space="preserve">Espesor del paquete b (cm)</t>
  </si>
  <si>
    <t xml:space="preserve">Paquete de chapas apretado, sin la cinta</t>
  </si>
  <si>
    <t xml:space="preserve">Constante del zumbador K</t>
  </si>
  <si>
    <t xml:space="preserve">Recomendado 70 (B ≈ 0,54 T). Un transformador normal usa 37 – 42 (B ≈ 0,9 – 1 T)</t>
  </si>
  <si>
    <t xml:space="preserve">Sección del núcleo Sn = a·b (cm²)</t>
  </si>
  <si>
    <t xml:space="preserve">Ecuación (1)</t>
  </si>
  <si>
    <t xml:space="preserve">Espiras por voltio n = K/Sn (esp/V)</t>
  </si>
  <si>
    <t xml:space="preserve">Ecuación (2)</t>
  </si>
  <si>
    <t xml:space="preserve">Espiras totales N = V·n</t>
  </si>
  <si>
    <t xml:space="preserve">Ecuación (3)</t>
  </si>
  <si>
    <t xml:space="preserve">Espiras por bobina (redondeo a la decena superior)</t>
  </si>
  <si>
    <t xml:space="preserve">Dos bobinas iguales, una por torre</t>
  </si>
  <si>
    <t xml:space="preserve">Espiras totales adoptadas</t>
  </si>
  <si>
    <t xml:space="preserve">Inducción resultante B (T)</t>
  </si>
  <si>
    <t xml:space="preserve">Ecuación (4): B = V·10⁸/(4,44·f·N·Sn) en gauss; ÷10 000 → T. Objetivo 0,45 – 0,65 T</t>
  </si>
  <si>
    <t xml:space="preserve">Comprobación de B</t>
  </si>
  <si>
    <t xml:space="preserve">Densidad de corriente admisible J (A/mm²)</t>
  </si>
  <si>
    <t xml:space="preserve">2,5 – 3,5 A/mm² para uso intermitente</t>
  </si>
  <si>
    <t xml:space="preserve">Calibre del alambre esmaltado (AWG)</t>
  </si>
  <si>
    <t xml:space="preserve">Elija en la hoja Alambre</t>
  </si>
  <si>
    <t xml:space="preserve">Sección del alambre (mm²)</t>
  </si>
  <si>
    <t xml:space="preserve">Diámetro con esmalte (mm)</t>
  </si>
  <si>
    <t xml:space="preserve">Corriente admisible I = J·s (A)</t>
  </si>
  <si>
    <t xml:space="preserve">Ecuación (5). Compárela con la corriente medida en la Parte 3</t>
  </si>
  <si>
    <t xml:space="preserve">Fusible (A)</t>
  </si>
  <si>
    <t xml:space="preserve">Retardado (T); protege contra cortocircuito</t>
  </si>
  <si>
    <t xml:space="preserve">Ventana y longitud de alambre (ecuación 6)</t>
  </si>
  <si>
    <t xml:space="preserve">Altura útil de la bobina hb (mm)</t>
  </si>
  <si>
    <t xml:space="preserve">Longitud de torre disponible bajo el asiento en V</t>
  </si>
  <si>
    <t xml:space="preserve">Espesor del carrete e (mm)</t>
  </si>
  <si>
    <t xml:space="preserve">Cartón prespán o papel dieléctrico de 0,5 mm en 3 capas</t>
  </si>
  <si>
    <t xml:space="preserve">Factor de relleno</t>
  </si>
  <si>
    <t xml:space="preserve">0,45 – 0,55 para bobinado a mano</t>
  </si>
  <si>
    <t xml:space="preserve">Área de cobre de una bobina (mm²)</t>
  </si>
  <si>
    <t xml:space="preserve">N/2 · d² / factor de relleno</t>
  </si>
  <si>
    <t xml:space="preserve">Espesor radial del bobinado t (mm)</t>
  </si>
  <si>
    <t xml:space="preserve">Ancho mínimo de la ventana c (mm)</t>
  </si>
  <si>
    <t xml:space="preserve">Dos bobinas enfrentadas + 4 mm de separación</t>
  </si>
  <si>
    <t xml:space="preserve">Longitud media de espira (mm)</t>
  </si>
  <si>
    <t xml:space="preserve">Alambre por bobina (m)</t>
  </si>
  <si>
    <t xml:space="preserve">Alambre total con 10 % de reserva (m)</t>
  </si>
  <si>
    <t xml:space="preserve">Masa de alambre (kg)</t>
  </si>
  <si>
    <t xml:space="preserve">Cobre 8,9 g/cm³; compre la bobina comercial inmediata superior</t>
  </si>
  <si>
    <t xml:space="preserve">Resistencia de las dos bobinas en serie a 20 °C (Ω)</t>
  </si>
  <si>
    <t xml:space="preserve">Valor esperado al medir con el óhmetro (Parte 2)</t>
  </si>
  <si>
    <t xml:space="preserve">Comparación: el mismo cálculo con B = 0,9 T (vídeo de Chávez Bustamante, 2021) daría K ≈ 41,7 y casi la mitad de espiras: más corriente de vacío, más calor y más zumbido.</t>
  </si>
  <si>
    <t xml:space="preserve">Alambre de cobre esmaltado (clase H, grado 2)</t>
  </si>
  <si>
    <t xml:space="preserve">AWG</t>
  </si>
  <si>
    <t xml:space="preserve">Sección (mm²)</t>
  </si>
  <si>
    <t xml:space="preserve">Ø con esmalte (mm)</t>
  </si>
  <si>
    <t xml:space="preserve">Ø desnudo (mm)</t>
  </si>
  <si>
    <t xml:space="preserve">Diámetros con esmalte orientativos (grado 2); verifique con el micrómetro el alambre comprado.</t>
  </si>
  <si>
    <t xml:space="preserve">Puesta en marcha del zumbador (Tablas de la Parte 3)</t>
  </si>
  <si>
    <t xml:space="preserve">Zumbador</t>
  </si>
  <si>
    <t xml:space="preserve">R bobina 1 (Ω)</t>
  </si>
  <si>
    <t xml:space="preserve">R bobina 2 (Ω)</t>
  </si>
  <si>
    <t xml:space="preserve">R serie (Ω)</t>
  </si>
  <si>
    <t xml:space="preserve">Aislamiento a núcleo (MΩ)</t>
  </si>
  <si>
    <t xml:space="preserve">Tensión de red (V)</t>
  </si>
  <si>
    <t xml:space="preserve">I sin inducido (A)</t>
  </si>
  <si>
    <t xml:space="preserve">I con inducido (A)</t>
  </si>
  <si>
    <t xml:space="preserve">T ambiente (°C)</t>
  </si>
  <si>
    <t xml:space="preserve">T bobina a 15 min (°C)</t>
  </si>
  <si>
    <t xml:space="preserve">Δ T (°C)</t>
  </si>
  <si>
    <t xml:space="preserve">I ≤ I admisible</t>
  </si>
  <si>
    <t xml:space="preserve">Dictamen</t>
  </si>
  <si>
    <t xml:space="preserve">A (Diurno)</t>
  </si>
  <si>
    <t xml:space="preserve">B (Nocturno)</t>
  </si>
  <si>
    <t xml:space="preserve">Criterios: aislamiento ≥ 1 MΩ; ΔT ≤ 40 °C a los 15 min con inducido; corriente con inducido ≤ corriente admisible del alambre.</t>
  </si>
  <si>
    <t xml:space="preserve">Prueba delga a delga con el zumbador (Tabla de la Parte 4)</t>
  </si>
  <si>
    <t xml:space="preserve">Anote la lectura máxima en mV CA de cada par de delgas contiguas. La hoja calcula la media y la desviación de cada par.</t>
  </si>
  <si>
    <t xml:space="preserve">Tolerancia (%)</t>
  </si>
  <si>
    <t xml:space="preserve">Par de delgas</t>
  </si>
  <si>
    <t xml:space="preserve">Inducido 1 (mV)</t>
  </si>
  <si>
    <t xml:space="preserve">Desv. (%)</t>
  </si>
  <si>
    <t xml:space="preserve">Inducido 2 (mV)</t>
  </si>
  <si>
    <t xml:space="preserve">Inducido 3 (mV)</t>
  </si>
  <si>
    <t xml:space="preserve">1 – 2</t>
  </si>
  <si>
    <t xml:space="preserve">2 – 3</t>
  </si>
  <si>
    <t xml:space="preserve">3 – 4</t>
  </si>
  <si>
    <t xml:space="preserve">4 – 5</t>
  </si>
  <si>
    <t xml:space="preserve">5 – 6</t>
  </si>
  <si>
    <t xml:space="preserve">6 – 7</t>
  </si>
  <si>
    <t xml:space="preserve">7 – 8</t>
  </si>
  <si>
    <t xml:space="preserve">8 – 9</t>
  </si>
  <si>
    <t xml:space="preserve">9 – 10</t>
  </si>
  <si>
    <t xml:space="preserve">10 – 11</t>
  </si>
  <si>
    <t xml:space="preserve">11 – 12</t>
  </si>
  <si>
    <t xml:space="preserve">12 – 13</t>
  </si>
  <si>
    <t xml:space="preserve">13 – 14</t>
  </si>
  <si>
    <t xml:space="preserve">14 – 15</t>
  </si>
  <si>
    <t xml:space="preserve">15 – 16</t>
  </si>
  <si>
    <t xml:space="preserve">16 – 17</t>
  </si>
  <si>
    <t xml:space="preserve">17 – 18</t>
  </si>
  <si>
    <t xml:space="preserve">18 – 19</t>
  </si>
  <si>
    <t xml:space="preserve">19 – 20</t>
  </si>
  <si>
    <t xml:space="preserve">20 – 21</t>
  </si>
  <si>
    <t xml:space="preserve">21 – 22</t>
  </si>
  <si>
    <t xml:space="preserve">22 – 23</t>
  </si>
  <si>
    <t xml:space="preserve">23 – 24</t>
  </si>
  <si>
    <t xml:space="preserve">24 – 25</t>
  </si>
  <si>
    <t xml:space="preserve">25 – 26</t>
  </si>
  <si>
    <t xml:space="preserve">26 – 27</t>
  </si>
  <si>
    <t xml:space="preserve">27 – 28</t>
  </si>
  <si>
    <t xml:space="preserve">28 – 29</t>
  </si>
  <si>
    <t xml:space="preserve">29 – 30</t>
  </si>
  <si>
    <t xml:space="preserve">30 – 31</t>
  </si>
  <si>
    <t xml:space="preserve">31 – 32</t>
  </si>
  <si>
    <t xml:space="preserve">32 – 33</t>
  </si>
  <si>
    <t xml:space="preserve">33 – 34</t>
  </si>
  <si>
    <t xml:space="preserve">34 – 35</t>
  </si>
  <si>
    <t xml:space="preserve">35 – 36</t>
  </si>
  <si>
    <t xml:space="preserve">36 – 37</t>
  </si>
  <si>
    <t xml:space="preserve">37 – 38</t>
  </si>
  <si>
    <t xml:space="preserve">38 – 39</t>
  </si>
  <si>
    <t xml:space="preserve">39 – 40</t>
  </si>
  <si>
    <t xml:space="preserve">40 – 41</t>
  </si>
  <si>
    <t xml:space="preserve">Media</t>
  </si>
  <si>
    <t xml:space="preserve">Pares fuera de tolerancia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</si>
</sst>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.0"/>
    <numFmt numFmtId="168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1F3864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120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v>60</v>
      </c>
      <c r="C6" s="6"/>
    </row>
    <row r="7" customFormat="false" ht="15" hidden="false" customHeight="false" outlineLevel="0" collapsed="false">
      <c r="A7" s="4" t="s">
        <v>8</v>
      </c>
      <c r="B7" s="7" t="n">
        <v>3.2</v>
      </c>
      <c r="C7" s="6" t="s">
        <v>9</v>
      </c>
    </row>
    <row r="8" customFormat="false" ht="15" hidden="false" customHeight="false" outlineLevel="0" collapsed="false">
      <c r="A8" s="4" t="s">
        <v>10</v>
      </c>
      <c r="B8" s="7" t="n">
        <v>7</v>
      </c>
      <c r="C8" s="6" t="s">
        <v>11</v>
      </c>
    </row>
    <row r="9" customFormat="false" ht="15" hidden="false" customHeight="false" outlineLevel="0" collapsed="false">
      <c r="A9" s="4" t="s">
        <v>12</v>
      </c>
      <c r="B9" s="5" t="n">
        <v>70</v>
      </c>
      <c r="C9" s="6" t="s">
        <v>13</v>
      </c>
    </row>
    <row r="10" customFormat="false" ht="15" hidden="false" customHeight="false" outlineLevel="0" collapsed="false">
      <c r="A10" s="4" t="s">
        <v>14</v>
      </c>
      <c r="B10" s="8" t="n">
        <f aca="false">B7*B8</f>
        <v>22.4</v>
      </c>
      <c r="C10" s="6" t="s">
        <v>15</v>
      </c>
    </row>
    <row r="11" customFormat="false" ht="15" hidden="false" customHeight="false" outlineLevel="0" collapsed="false">
      <c r="A11" s="4" t="s">
        <v>16</v>
      </c>
      <c r="B11" s="9" t="n">
        <f aca="false">B9/B10</f>
        <v>3.125</v>
      </c>
      <c r="C11" s="6" t="s">
        <v>17</v>
      </c>
    </row>
    <row r="12" customFormat="false" ht="15" hidden="false" customHeight="false" outlineLevel="0" collapsed="false">
      <c r="A12" s="4" t="s">
        <v>18</v>
      </c>
      <c r="B12" s="10" t="n">
        <f aca="false">B5*B11</f>
        <v>375</v>
      </c>
      <c r="C12" s="6" t="s">
        <v>19</v>
      </c>
    </row>
    <row r="13" customFormat="false" ht="15" hidden="false" customHeight="false" outlineLevel="0" collapsed="false">
      <c r="A13" s="4" t="s">
        <v>20</v>
      </c>
      <c r="B13" s="11" t="n">
        <f aca="false">CEILING(B12/2,10)</f>
        <v>190</v>
      </c>
      <c r="C13" s="6" t="s">
        <v>21</v>
      </c>
    </row>
    <row r="14" customFormat="false" ht="15" hidden="false" customHeight="false" outlineLevel="0" collapsed="false">
      <c r="A14" s="4" t="s">
        <v>22</v>
      </c>
      <c r="B14" s="11" t="n">
        <f aca="false">2*B13</f>
        <v>380</v>
      </c>
      <c r="C14" s="6"/>
    </row>
    <row r="15" customFormat="false" ht="15" hidden="false" customHeight="false" outlineLevel="0" collapsed="false">
      <c r="A15" s="4" t="s">
        <v>23</v>
      </c>
      <c r="B15" s="9" t="n">
        <f aca="false">B5*100000000/(4.44*B6*B14*B10)/10000</f>
        <v>0.529194608141976</v>
      </c>
      <c r="C15" s="6" t="s">
        <v>24</v>
      </c>
    </row>
    <row r="16" customFormat="false" ht="15" hidden="false" customHeight="false" outlineLevel="0" collapsed="false">
      <c r="A16" s="4" t="s">
        <v>25</v>
      </c>
      <c r="B16" s="4" t="str">
        <f aca="false">IF(AND(B15&gt;=0.45,B15&lt;=0.65),"Correcto","Revise K o el núcleo")</f>
        <v>Correcto</v>
      </c>
      <c r="C16" s="6"/>
    </row>
    <row r="17" customFormat="false" ht="15" hidden="false" customHeight="false" outlineLevel="0" collapsed="false">
      <c r="A17" s="4" t="s">
        <v>26</v>
      </c>
      <c r="B17" s="12" t="n">
        <v>3</v>
      </c>
      <c r="C17" s="6" t="s">
        <v>27</v>
      </c>
    </row>
    <row r="18" customFormat="false" ht="15" hidden="false" customHeight="false" outlineLevel="0" collapsed="false">
      <c r="A18" s="4" t="s">
        <v>28</v>
      </c>
      <c r="B18" s="5" t="n">
        <v>18</v>
      </c>
      <c r="C18" s="6" t="s">
        <v>29</v>
      </c>
    </row>
    <row r="19" customFormat="false" ht="15" hidden="false" customHeight="false" outlineLevel="0" collapsed="false">
      <c r="A19" s="4" t="s">
        <v>30</v>
      </c>
      <c r="B19" s="9" t="n">
        <f aca="false">VLOOKUP(B18,Alambre!$A$4:$D$12,2,FALSE())</f>
        <v>0.823</v>
      </c>
      <c r="C19" s="6"/>
    </row>
    <row r="20" customFormat="false" ht="15" hidden="false" customHeight="false" outlineLevel="0" collapsed="false">
      <c r="A20" s="4" t="s">
        <v>31</v>
      </c>
      <c r="B20" s="8" t="n">
        <f aca="false">VLOOKUP(B18,Alambre!$A$4:$D$12,3,FALSE())</f>
        <v>1.09</v>
      </c>
      <c r="C20" s="6"/>
    </row>
    <row r="21" customFormat="false" ht="15" hidden="false" customHeight="false" outlineLevel="0" collapsed="false">
      <c r="A21" s="4" t="s">
        <v>32</v>
      </c>
      <c r="B21" s="8" t="n">
        <f aca="false">B17*B19</f>
        <v>2.469</v>
      </c>
      <c r="C21" s="6" t="s">
        <v>33</v>
      </c>
    </row>
    <row r="22" customFormat="false" ht="15" hidden="false" customHeight="false" outlineLevel="0" collapsed="false">
      <c r="A22" s="4" t="s">
        <v>34</v>
      </c>
      <c r="B22" s="11" t="n">
        <f aca="false">IF(B21&lt;=2.5,4,IF(B21&lt;=4,6,10))</f>
        <v>4</v>
      </c>
      <c r="C22" s="6" t="s">
        <v>35</v>
      </c>
    </row>
    <row r="24" customFormat="false" ht="15" hidden="false" customHeight="false" outlineLevel="0" collapsed="false">
      <c r="A24" s="13" t="s">
        <v>36</v>
      </c>
    </row>
    <row r="25" customFormat="false" ht="15" hidden="false" customHeight="false" outlineLevel="0" collapsed="false">
      <c r="A25" s="3" t="s">
        <v>2</v>
      </c>
      <c r="B25" s="3" t="s">
        <v>3</v>
      </c>
      <c r="C25" s="3" t="s">
        <v>4</v>
      </c>
    </row>
    <row r="26" customFormat="false" ht="15" hidden="false" customHeight="false" outlineLevel="0" collapsed="false">
      <c r="A26" s="4" t="s">
        <v>37</v>
      </c>
      <c r="B26" s="14" t="n">
        <v>42</v>
      </c>
      <c r="C26" s="6" t="s">
        <v>38</v>
      </c>
    </row>
    <row r="27" customFormat="false" ht="15" hidden="false" customHeight="false" outlineLevel="0" collapsed="false">
      <c r="A27" s="4" t="s">
        <v>39</v>
      </c>
      <c r="B27" s="12" t="n">
        <v>1.5</v>
      </c>
      <c r="C27" s="6" t="s">
        <v>40</v>
      </c>
    </row>
    <row r="28" customFormat="false" ht="15" hidden="false" customHeight="false" outlineLevel="0" collapsed="false">
      <c r="A28" s="4" t="s">
        <v>41</v>
      </c>
      <c r="B28" s="7" t="n">
        <v>0.5</v>
      </c>
      <c r="C28" s="6" t="s">
        <v>42</v>
      </c>
    </row>
    <row r="29" customFormat="false" ht="15" hidden="false" customHeight="false" outlineLevel="0" collapsed="false">
      <c r="A29" s="4" t="s">
        <v>43</v>
      </c>
      <c r="B29" s="11" t="n">
        <f aca="false">B13*B20^2/B28</f>
        <v>451.478</v>
      </c>
      <c r="C29" s="6" t="s">
        <v>44</v>
      </c>
    </row>
    <row r="30" customFormat="false" ht="15" hidden="false" customHeight="false" outlineLevel="0" collapsed="false">
      <c r="A30" s="4" t="s">
        <v>45</v>
      </c>
      <c r="B30" s="10" t="n">
        <f aca="false">B29/B26</f>
        <v>10.7494761904762</v>
      </c>
      <c r="C30" s="6"/>
    </row>
    <row r="31" customFormat="false" ht="15" hidden="false" customHeight="false" outlineLevel="0" collapsed="false">
      <c r="A31" s="4" t="s">
        <v>46</v>
      </c>
      <c r="B31" s="10" t="n">
        <f aca="false">2*(B27+B30)+4</f>
        <v>28.4989523809524</v>
      </c>
      <c r="C31" s="6" t="s">
        <v>47</v>
      </c>
    </row>
    <row r="32" customFormat="false" ht="15" hidden="false" customHeight="false" outlineLevel="0" collapsed="false">
      <c r="A32" s="4" t="s">
        <v>48</v>
      </c>
      <c r="B32" s="11" t="n">
        <f aca="false">2*(B7*10+2*B27+B30)+2*(B8*10+2*B27+B30)</f>
        <v>258.997904761905</v>
      </c>
      <c r="C32" s="6"/>
    </row>
    <row r="33" customFormat="false" ht="15" hidden="false" customHeight="false" outlineLevel="0" collapsed="false">
      <c r="A33" s="4" t="s">
        <v>49</v>
      </c>
      <c r="B33" s="10" t="n">
        <f aca="false">B13*B32/1000</f>
        <v>49.2096019047619</v>
      </c>
      <c r="C33" s="6"/>
    </row>
    <row r="34" customFormat="false" ht="15" hidden="false" customHeight="false" outlineLevel="0" collapsed="false">
      <c r="A34" s="4" t="s">
        <v>50</v>
      </c>
      <c r="B34" s="11" t="n">
        <f aca="false">2*B33*1.1</f>
        <v>108.261124190476</v>
      </c>
      <c r="C34" s="6"/>
    </row>
    <row r="35" customFormat="false" ht="15" hidden="false" customHeight="false" outlineLevel="0" collapsed="false">
      <c r="A35" s="4" t="s">
        <v>51</v>
      </c>
      <c r="B35" s="8" t="n">
        <f aca="false">B34*B19*8.9/1000</f>
        <v>0.792980256357981</v>
      </c>
      <c r="C35" s="6" t="s">
        <v>52</v>
      </c>
    </row>
    <row r="36" customFormat="false" ht="15" hidden="false" customHeight="false" outlineLevel="0" collapsed="false">
      <c r="A36" s="4" t="s">
        <v>53</v>
      </c>
      <c r="B36" s="8" t="n">
        <f aca="false">0.0178*2*B33/B19</f>
        <v>2.12862919539432</v>
      </c>
      <c r="C36" s="6" t="s">
        <v>54</v>
      </c>
    </row>
    <row r="38" customFormat="false" ht="15" hidden="false" customHeight="false" outlineLevel="0" collapsed="false">
      <c r="A38" s="2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</cols>
  <sheetData>
    <row r="1" customFormat="false" ht="16.15" hidden="false" customHeight="false" outlineLevel="0" collapsed="false">
      <c r="A1" s="1" t="s">
        <v>56</v>
      </c>
    </row>
    <row r="3" customFormat="false" ht="15" hidden="false" customHeight="false" outlineLevel="0" collapsed="false">
      <c r="A3" s="3" t="s">
        <v>57</v>
      </c>
      <c r="B3" s="3" t="s">
        <v>58</v>
      </c>
      <c r="C3" s="3" t="s">
        <v>59</v>
      </c>
      <c r="D3" s="3" t="s">
        <v>60</v>
      </c>
    </row>
    <row r="4" customFormat="false" ht="15" hidden="false" customHeight="false" outlineLevel="0" collapsed="false">
      <c r="A4" s="4" t="n">
        <v>14</v>
      </c>
      <c r="B4" s="4" t="n">
        <v>2.08</v>
      </c>
      <c r="C4" s="4" t="n">
        <v>1.69</v>
      </c>
      <c r="D4" s="4" t="n">
        <v>1.628</v>
      </c>
    </row>
    <row r="5" customFormat="false" ht="15" hidden="false" customHeight="false" outlineLevel="0" collapsed="false">
      <c r="A5" s="4" t="n">
        <v>15</v>
      </c>
      <c r="B5" s="4" t="n">
        <v>1.65</v>
      </c>
      <c r="C5" s="4" t="n">
        <v>1.51</v>
      </c>
      <c r="D5" s="4" t="n">
        <v>1.45</v>
      </c>
    </row>
    <row r="6" customFormat="false" ht="15" hidden="false" customHeight="false" outlineLevel="0" collapsed="false">
      <c r="A6" s="4" t="n">
        <v>16</v>
      </c>
      <c r="B6" s="4" t="n">
        <v>1.31</v>
      </c>
      <c r="C6" s="4" t="n">
        <v>1.35</v>
      </c>
      <c r="D6" s="4" t="n">
        <v>1.291</v>
      </c>
    </row>
    <row r="7" customFormat="false" ht="15" hidden="false" customHeight="false" outlineLevel="0" collapsed="false">
      <c r="A7" s="4" t="n">
        <v>17</v>
      </c>
      <c r="B7" s="4" t="n">
        <v>1.04</v>
      </c>
      <c r="C7" s="4" t="n">
        <v>1.21</v>
      </c>
      <c r="D7" s="4" t="n">
        <v>1.15</v>
      </c>
    </row>
    <row r="8" customFormat="false" ht="15" hidden="false" customHeight="false" outlineLevel="0" collapsed="false">
      <c r="A8" s="4" t="n">
        <v>18</v>
      </c>
      <c r="B8" s="4" t="n">
        <v>0.823</v>
      </c>
      <c r="C8" s="4" t="n">
        <v>1.09</v>
      </c>
      <c r="D8" s="4" t="n">
        <v>1.024</v>
      </c>
    </row>
    <row r="9" customFormat="false" ht="15" hidden="false" customHeight="false" outlineLevel="0" collapsed="false">
      <c r="A9" s="4" t="n">
        <v>19</v>
      </c>
      <c r="B9" s="4" t="n">
        <v>0.653</v>
      </c>
      <c r="C9" s="4" t="n">
        <v>0.97</v>
      </c>
      <c r="D9" s="4" t="n">
        <v>0.912</v>
      </c>
    </row>
    <row r="10" customFormat="false" ht="15" hidden="false" customHeight="false" outlineLevel="0" collapsed="false">
      <c r="A10" s="4" t="n">
        <v>20</v>
      </c>
      <c r="B10" s="4" t="n">
        <v>0.518</v>
      </c>
      <c r="C10" s="4" t="n">
        <v>0.87</v>
      </c>
      <c r="D10" s="4" t="n">
        <v>0.812</v>
      </c>
    </row>
    <row r="11" customFormat="false" ht="15" hidden="false" customHeight="false" outlineLevel="0" collapsed="false">
      <c r="A11" s="4" t="n">
        <v>21</v>
      </c>
      <c r="B11" s="4" t="n">
        <v>0.41</v>
      </c>
      <c r="C11" s="4" t="n">
        <v>0.78</v>
      </c>
      <c r="D11" s="4" t="n">
        <v>0.723</v>
      </c>
    </row>
    <row r="12" customFormat="false" ht="15" hidden="false" customHeight="false" outlineLevel="0" collapsed="false">
      <c r="A12" s="4" t="n">
        <v>22</v>
      </c>
      <c r="B12" s="4" t="n">
        <v>0.326</v>
      </c>
      <c r="C12" s="4" t="n">
        <v>0.7</v>
      </c>
      <c r="D12" s="4" t="n">
        <v>0.644</v>
      </c>
    </row>
    <row r="14" customFormat="false" ht="15" hidden="false" customHeight="false" outlineLevel="0" collapsed="false">
      <c r="A14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14"/>
  </cols>
  <sheetData>
    <row r="1" customFormat="false" ht="16.15" hidden="false" customHeight="false" outlineLevel="0" collapsed="false">
      <c r="A1" s="1" t="s">
        <v>62</v>
      </c>
    </row>
    <row r="3" customFormat="false" ht="28.35" hidden="false" customHeight="false" outlineLevel="0" collapsed="false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70</v>
      </c>
      <c r="I3" s="3" t="s">
        <v>71</v>
      </c>
      <c r="J3" s="3" t="s">
        <v>72</v>
      </c>
      <c r="K3" s="3" t="s">
        <v>73</v>
      </c>
      <c r="L3" s="3" t="s">
        <v>74</v>
      </c>
      <c r="M3" s="3" t="s">
        <v>75</v>
      </c>
    </row>
    <row r="4" customFormat="false" ht="15" hidden="false" customHeight="false" outlineLevel="0" collapsed="false">
      <c r="A4" s="0" t="s">
        <v>76</v>
      </c>
      <c r="B4" s="15"/>
      <c r="C4" s="15"/>
      <c r="D4" s="0" t="str">
        <f aca="false">IF(OR(B4="",C4=""),"",B4+C4)</f>
        <v/>
      </c>
      <c r="E4" s="15"/>
      <c r="F4" s="15"/>
      <c r="G4" s="15"/>
      <c r="H4" s="15"/>
      <c r="I4" s="15"/>
      <c r="J4" s="15"/>
      <c r="K4" s="0" t="str">
        <f aca="false">IF(OR(I4="",J4=""),"",J4-I4)</f>
        <v/>
      </c>
      <c r="L4" s="0" t="str">
        <f aca="false">IF(H4="","",IF(H4&lt;='Diseño (Parte 1)'!$B$21,"Sí","No"))</f>
        <v/>
      </c>
      <c r="M4" s="0" t="str">
        <f aca="false">IF(OR(E4="",K4="",L4=""),"",IF(AND(E4&gt;=1,K4&lt;=40,L4="Sí"),"Apto","Revisar"))</f>
        <v/>
      </c>
    </row>
    <row r="5" customFormat="false" ht="15" hidden="false" customHeight="false" outlineLevel="0" collapsed="false">
      <c r="A5" s="0" t="s">
        <v>77</v>
      </c>
      <c r="B5" s="15"/>
      <c r="C5" s="15"/>
      <c r="D5" s="0" t="str">
        <f aca="false">IF(OR(B5="",C5=""),"",B5+C5)</f>
        <v/>
      </c>
      <c r="E5" s="15"/>
      <c r="F5" s="15"/>
      <c r="G5" s="15"/>
      <c r="H5" s="15"/>
      <c r="I5" s="15"/>
      <c r="J5" s="15"/>
      <c r="K5" s="0" t="str">
        <f aca="false">IF(OR(I5="",J5=""),"",J5-I5)</f>
        <v/>
      </c>
      <c r="L5" s="0" t="str">
        <f aca="false">IF(H5="","",IF(H5&lt;='Diseño (Parte 1)'!$B$21,"Sí","No"))</f>
        <v/>
      </c>
      <c r="M5" s="0" t="str">
        <f aca="false">IF(OR(E5="",K5="",L5=""),"",IF(AND(E5&gt;=1,K5&lt;=40,L5="Sí"),"Apto","Revisar"))</f>
        <v/>
      </c>
    </row>
    <row r="7" customFormat="false" ht="15" hidden="false" customHeight="false" outlineLevel="0" collapsed="false">
      <c r="A7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7"/>
  </cols>
  <sheetData>
    <row r="1" customFormat="false" ht="16.1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3" customFormat="false" ht="15" hidden="false" customHeight="false" outlineLevel="0" collapsed="false">
      <c r="A3" s="0" t="s">
        <v>81</v>
      </c>
      <c r="B3" s="15" t="n">
        <v>10</v>
      </c>
    </row>
    <row r="5" customFormat="false" ht="15" hidden="false" customHeight="false" outlineLevel="0" collapsed="false">
      <c r="A5" s="3" t="s">
        <v>82</v>
      </c>
      <c r="B5" s="3" t="s">
        <v>83</v>
      </c>
      <c r="C5" s="3" t="s">
        <v>84</v>
      </c>
      <c r="D5" s="3" t="s">
        <v>85</v>
      </c>
      <c r="E5" s="3" t="s">
        <v>84</v>
      </c>
      <c r="F5" s="3" t="s">
        <v>86</v>
      </c>
      <c r="G5" s="3" t="s">
        <v>84</v>
      </c>
    </row>
    <row r="6" customFormat="false" ht="15" hidden="false" customHeight="false" outlineLevel="0" collapsed="false">
      <c r="A6" s="0" t="s">
        <v>87</v>
      </c>
      <c r="B6" s="15"/>
      <c r="C6" s="16" t="str">
        <f aca="false">IF(B6="","",(B6-B$47)/B$47*100)</f>
        <v/>
      </c>
      <c r="D6" s="15"/>
      <c r="E6" s="16" t="str">
        <f aca="false">IF(D6="","",(D6-D$47)/D$47*100)</f>
        <v/>
      </c>
      <c r="F6" s="15"/>
      <c r="G6" s="16" t="str">
        <f aca="false">IF(F6="","",(F6-F$47)/F$47*100)</f>
        <v/>
      </c>
    </row>
    <row r="7" customFormat="false" ht="15" hidden="false" customHeight="false" outlineLevel="0" collapsed="false">
      <c r="A7" s="0" t="s">
        <v>88</v>
      </c>
      <c r="B7" s="15"/>
      <c r="C7" s="16" t="str">
        <f aca="false">IF(B7="","",(B7-B$47)/B$47*100)</f>
        <v/>
      </c>
      <c r="D7" s="15"/>
      <c r="E7" s="16" t="str">
        <f aca="false">IF(D7="","",(D7-D$47)/D$47*100)</f>
        <v/>
      </c>
      <c r="F7" s="15"/>
      <c r="G7" s="16" t="str">
        <f aca="false">IF(F7="","",(F7-F$47)/F$47*100)</f>
        <v/>
      </c>
    </row>
    <row r="8" customFormat="false" ht="15" hidden="false" customHeight="false" outlineLevel="0" collapsed="false">
      <c r="A8" s="0" t="s">
        <v>89</v>
      </c>
      <c r="B8" s="15"/>
      <c r="C8" s="16" t="str">
        <f aca="false">IF(B8="","",(B8-B$47)/B$47*100)</f>
        <v/>
      </c>
      <c r="D8" s="15"/>
      <c r="E8" s="16" t="str">
        <f aca="false">IF(D8="","",(D8-D$47)/D$47*100)</f>
        <v/>
      </c>
      <c r="F8" s="15"/>
      <c r="G8" s="16" t="str">
        <f aca="false">IF(F8="","",(F8-F$47)/F$47*100)</f>
        <v/>
      </c>
    </row>
    <row r="9" customFormat="false" ht="15" hidden="false" customHeight="false" outlineLevel="0" collapsed="false">
      <c r="A9" s="0" t="s">
        <v>90</v>
      </c>
      <c r="B9" s="15"/>
      <c r="C9" s="16" t="str">
        <f aca="false">IF(B9="","",(B9-B$47)/B$47*100)</f>
        <v/>
      </c>
      <c r="D9" s="15"/>
      <c r="E9" s="16" t="str">
        <f aca="false">IF(D9="","",(D9-D$47)/D$47*100)</f>
        <v/>
      </c>
      <c r="F9" s="15"/>
      <c r="G9" s="16" t="str">
        <f aca="false">IF(F9="","",(F9-F$47)/F$47*100)</f>
        <v/>
      </c>
    </row>
    <row r="10" customFormat="false" ht="15" hidden="false" customHeight="false" outlineLevel="0" collapsed="false">
      <c r="A10" s="0" t="s">
        <v>91</v>
      </c>
      <c r="B10" s="15"/>
      <c r="C10" s="16" t="str">
        <f aca="false">IF(B10="","",(B10-B$47)/B$47*100)</f>
        <v/>
      </c>
      <c r="D10" s="15"/>
      <c r="E10" s="16" t="str">
        <f aca="false">IF(D10="","",(D10-D$47)/D$47*100)</f>
        <v/>
      </c>
      <c r="F10" s="15"/>
      <c r="G10" s="16" t="str">
        <f aca="false">IF(F10="","",(F10-F$47)/F$47*100)</f>
        <v/>
      </c>
    </row>
    <row r="11" customFormat="false" ht="15" hidden="false" customHeight="false" outlineLevel="0" collapsed="false">
      <c r="A11" s="0" t="s">
        <v>92</v>
      </c>
      <c r="B11" s="15"/>
      <c r="C11" s="16" t="str">
        <f aca="false">IF(B11="","",(B11-B$47)/B$47*100)</f>
        <v/>
      </c>
      <c r="D11" s="15"/>
      <c r="E11" s="16" t="str">
        <f aca="false">IF(D11="","",(D11-D$47)/D$47*100)</f>
        <v/>
      </c>
      <c r="F11" s="15"/>
      <c r="G11" s="16" t="str">
        <f aca="false">IF(F11="","",(F11-F$47)/F$47*100)</f>
        <v/>
      </c>
    </row>
    <row r="12" customFormat="false" ht="15" hidden="false" customHeight="false" outlineLevel="0" collapsed="false">
      <c r="A12" s="0" t="s">
        <v>93</v>
      </c>
      <c r="B12" s="15"/>
      <c r="C12" s="16" t="str">
        <f aca="false">IF(B12="","",(B12-B$47)/B$47*100)</f>
        <v/>
      </c>
      <c r="D12" s="15"/>
      <c r="E12" s="16" t="str">
        <f aca="false">IF(D12="","",(D12-D$47)/D$47*100)</f>
        <v/>
      </c>
      <c r="F12" s="15"/>
      <c r="G12" s="16" t="str">
        <f aca="false">IF(F12="","",(F12-F$47)/F$47*100)</f>
        <v/>
      </c>
    </row>
    <row r="13" customFormat="false" ht="15" hidden="false" customHeight="false" outlineLevel="0" collapsed="false">
      <c r="A13" s="0" t="s">
        <v>94</v>
      </c>
      <c r="B13" s="15"/>
      <c r="C13" s="16" t="str">
        <f aca="false">IF(B13="","",(B13-B$47)/B$47*100)</f>
        <v/>
      </c>
      <c r="D13" s="15"/>
      <c r="E13" s="16" t="str">
        <f aca="false">IF(D13="","",(D13-D$47)/D$47*100)</f>
        <v/>
      </c>
      <c r="F13" s="15"/>
      <c r="G13" s="16" t="str">
        <f aca="false">IF(F13="","",(F13-F$47)/F$47*100)</f>
        <v/>
      </c>
    </row>
    <row r="14" customFormat="false" ht="15" hidden="false" customHeight="false" outlineLevel="0" collapsed="false">
      <c r="A14" s="0" t="s">
        <v>95</v>
      </c>
      <c r="B14" s="15"/>
      <c r="C14" s="16" t="str">
        <f aca="false">IF(B14="","",(B14-B$47)/B$47*100)</f>
        <v/>
      </c>
      <c r="D14" s="15"/>
      <c r="E14" s="16" t="str">
        <f aca="false">IF(D14="","",(D14-D$47)/D$47*100)</f>
        <v/>
      </c>
      <c r="F14" s="15"/>
      <c r="G14" s="16" t="str">
        <f aca="false">IF(F14="","",(F14-F$47)/F$47*100)</f>
        <v/>
      </c>
    </row>
    <row r="15" customFormat="false" ht="15" hidden="false" customHeight="false" outlineLevel="0" collapsed="false">
      <c r="A15" s="0" t="s">
        <v>96</v>
      </c>
      <c r="B15" s="15"/>
      <c r="C15" s="16" t="str">
        <f aca="false">IF(B15="","",(B15-B$47)/B$47*100)</f>
        <v/>
      </c>
      <c r="D15" s="15"/>
      <c r="E15" s="16" t="str">
        <f aca="false">IF(D15="","",(D15-D$47)/D$47*100)</f>
        <v/>
      </c>
      <c r="F15" s="15"/>
      <c r="G15" s="16" t="str">
        <f aca="false">IF(F15="","",(F15-F$47)/F$47*100)</f>
        <v/>
      </c>
    </row>
    <row r="16" customFormat="false" ht="15" hidden="false" customHeight="false" outlineLevel="0" collapsed="false">
      <c r="A16" s="0" t="s">
        <v>97</v>
      </c>
      <c r="B16" s="15"/>
      <c r="C16" s="16" t="str">
        <f aca="false">IF(B16="","",(B16-B$47)/B$47*100)</f>
        <v/>
      </c>
      <c r="D16" s="15"/>
      <c r="E16" s="16" t="str">
        <f aca="false">IF(D16="","",(D16-D$47)/D$47*100)</f>
        <v/>
      </c>
      <c r="F16" s="15"/>
      <c r="G16" s="16" t="str">
        <f aca="false">IF(F16="","",(F16-F$47)/F$47*100)</f>
        <v/>
      </c>
    </row>
    <row r="17" customFormat="false" ht="15" hidden="false" customHeight="false" outlineLevel="0" collapsed="false">
      <c r="A17" s="0" t="s">
        <v>98</v>
      </c>
      <c r="B17" s="15"/>
      <c r="C17" s="16" t="str">
        <f aca="false">IF(B17="","",(B17-B$47)/B$47*100)</f>
        <v/>
      </c>
      <c r="D17" s="15"/>
      <c r="E17" s="16" t="str">
        <f aca="false">IF(D17="","",(D17-D$47)/D$47*100)</f>
        <v/>
      </c>
      <c r="F17" s="15"/>
      <c r="G17" s="16" t="str">
        <f aca="false">IF(F17="","",(F17-F$47)/F$47*100)</f>
        <v/>
      </c>
    </row>
    <row r="18" customFormat="false" ht="15" hidden="false" customHeight="false" outlineLevel="0" collapsed="false">
      <c r="A18" s="0" t="s">
        <v>99</v>
      </c>
      <c r="B18" s="15"/>
      <c r="C18" s="16" t="str">
        <f aca="false">IF(B18="","",(B18-B$47)/B$47*100)</f>
        <v/>
      </c>
      <c r="D18" s="15"/>
      <c r="E18" s="16" t="str">
        <f aca="false">IF(D18="","",(D18-D$47)/D$47*100)</f>
        <v/>
      </c>
      <c r="F18" s="15"/>
      <c r="G18" s="16" t="str">
        <f aca="false">IF(F18="","",(F18-F$47)/F$47*100)</f>
        <v/>
      </c>
    </row>
    <row r="19" customFormat="false" ht="15" hidden="false" customHeight="false" outlineLevel="0" collapsed="false">
      <c r="A19" s="0" t="s">
        <v>100</v>
      </c>
      <c r="B19" s="15"/>
      <c r="C19" s="16" t="str">
        <f aca="false">IF(B19="","",(B19-B$47)/B$47*100)</f>
        <v/>
      </c>
      <c r="D19" s="15"/>
      <c r="E19" s="16" t="str">
        <f aca="false">IF(D19="","",(D19-D$47)/D$47*100)</f>
        <v/>
      </c>
      <c r="F19" s="15"/>
      <c r="G19" s="16" t="str">
        <f aca="false">IF(F19="","",(F19-F$47)/F$47*100)</f>
        <v/>
      </c>
    </row>
    <row r="20" customFormat="false" ht="15" hidden="false" customHeight="false" outlineLevel="0" collapsed="false">
      <c r="A20" s="0" t="s">
        <v>101</v>
      </c>
      <c r="B20" s="15"/>
      <c r="C20" s="16" t="str">
        <f aca="false">IF(B20="","",(B20-B$47)/B$47*100)</f>
        <v/>
      </c>
      <c r="D20" s="15"/>
      <c r="E20" s="16" t="str">
        <f aca="false">IF(D20="","",(D20-D$47)/D$47*100)</f>
        <v/>
      </c>
      <c r="F20" s="15"/>
      <c r="G20" s="16" t="str">
        <f aca="false">IF(F20="","",(F20-F$47)/F$47*100)</f>
        <v/>
      </c>
    </row>
    <row r="21" customFormat="false" ht="15" hidden="false" customHeight="false" outlineLevel="0" collapsed="false">
      <c r="A21" s="0" t="s">
        <v>102</v>
      </c>
      <c r="B21" s="15"/>
      <c r="C21" s="16" t="str">
        <f aca="false">IF(B21="","",(B21-B$47)/B$47*100)</f>
        <v/>
      </c>
      <c r="D21" s="15"/>
      <c r="E21" s="16" t="str">
        <f aca="false">IF(D21="","",(D21-D$47)/D$47*100)</f>
        <v/>
      </c>
      <c r="F21" s="15"/>
      <c r="G21" s="16" t="str">
        <f aca="false">IF(F21="","",(F21-F$47)/F$47*100)</f>
        <v/>
      </c>
    </row>
    <row r="22" customFormat="false" ht="15" hidden="false" customHeight="false" outlineLevel="0" collapsed="false">
      <c r="A22" s="0" t="s">
        <v>103</v>
      </c>
      <c r="B22" s="15"/>
      <c r="C22" s="16" t="str">
        <f aca="false">IF(B22="","",(B22-B$47)/B$47*100)</f>
        <v/>
      </c>
      <c r="D22" s="15"/>
      <c r="E22" s="16" t="str">
        <f aca="false">IF(D22="","",(D22-D$47)/D$47*100)</f>
        <v/>
      </c>
      <c r="F22" s="15"/>
      <c r="G22" s="16" t="str">
        <f aca="false">IF(F22="","",(F22-F$47)/F$47*100)</f>
        <v/>
      </c>
    </row>
    <row r="23" customFormat="false" ht="15" hidden="false" customHeight="false" outlineLevel="0" collapsed="false">
      <c r="A23" s="0" t="s">
        <v>104</v>
      </c>
      <c r="B23" s="15"/>
      <c r="C23" s="16" t="str">
        <f aca="false">IF(B23="","",(B23-B$47)/B$47*100)</f>
        <v/>
      </c>
      <c r="D23" s="15"/>
      <c r="E23" s="16" t="str">
        <f aca="false">IF(D23="","",(D23-D$47)/D$47*100)</f>
        <v/>
      </c>
      <c r="F23" s="15"/>
      <c r="G23" s="16" t="str">
        <f aca="false">IF(F23="","",(F23-F$47)/F$47*100)</f>
        <v/>
      </c>
    </row>
    <row r="24" customFormat="false" ht="15" hidden="false" customHeight="false" outlineLevel="0" collapsed="false">
      <c r="A24" s="0" t="s">
        <v>105</v>
      </c>
      <c r="B24" s="15"/>
      <c r="C24" s="16" t="str">
        <f aca="false">IF(B24="","",(B24-B$47)/B$47*100)</f>
        <v/>
      </c>
      <c r="D24" s="15"/>
      <c r="E24" s="16" t="str">
        <f aca="false">IF(D24="","",(D24-D$47)/D$47*100)</f>
        <v/>
      </c>
      <c r="F24" s="15"/>
      <c r="G24" s="16" t="str">
        <f aca="false">IF(F24="","",(F24-F$47)/F$47*100)</f>
        <v/>
      </c>
    </row>
    <row r="25" customFormat="false" ht="15" hidden="false" customHeight="false" outlineLevel="0" collapsed="false">
      <c r="A25" s="0" t="s">
        <v>106</v>
      </c>
      <c r="B25" s="15"/>
      <c r="C25" s="16" t="str">
        <f aca="false">IF(B25="","",(B25-B$47)/B$47*100)</f>
        <v/>
      </c>
      <c r="D25" s="15"/>
      <c r="E25" s="16" t="str">
        <f aca="false">IF(D25="","",(D25-D$47)/D$47*100)</f>
        <v/>
      </c>
      <c r="F25" s="15"/>
      <c r="G25" s="16" t="str">
        <f aca="false">IF(F25="","",(F25-F$47)/F$47*100)</f>
        <v/>
      </c>
    </row>
    <row r="26" customFormat="false" ht="15" hidden="false" customHeight="false" outlineLevel="0" collapsed="false">
      <c r="A26" s="0" t="s">
        <v>107</v>
      </c>
      <c r="B26" s="15"/>
      <c r="C26" s="16" t="str">
        <f aca="false">IF(B26="","",(B26-B$47)/B$47*100)</f>
        <v/>
      </c>
      <c r="D26" s="15"/>
      <c r="E26" s="16" t="str">
        <f aca="false">IF(D26="","",(D26-D$47)/D$47*100)</f>
        <v/>
      </c>
      <c r="F26" s="15"/>
      <c r="G26" s="16" t="str">
        <f aca="false">IF(F26="","",(F26-F$47)/F$47*100)</f>
        <v/>
      </c>
    </row>
    <row r="27" customFormat="false" ht="15" hidden="false" customHeight="false" outlineLevel="0" collapsed="false">
      <c r="A27" s="0" t="s">
        <v>108</v>
      </c>
      <c r="B27" s="15"/>
      <c r="C27" s="16" t="str">
        <f aca="false">IF(B27="","",(B27-B$47)/B$47*100)</f>
        <v/>
      </c>
      <c r="D27" s="15"/>
      <c r="E27" s="16" t="str">
        <f aca="false">IF(D27="","",(D27-D$47)/D$47*100)</f>
        <v/>
      </c>
      <c r="F27" s="15"/>
      <c r="G27" s="16" t="str">
        <f aca="false">IF(F27="","",(F27-F$47)/F$47*100)</f>
        <v/>
      </c>
    </row>
    <row r="28" customFormat="false" ht="15" hidden="false" customHeight="false" outlineLevel="0" collapsed="false">
      <c r="A28" s="0" t="s">
        <v>109</v>
      </c>
      <c r="B28" s="15"/>
      <c r="C28" s="16" t="str">
        <f aca="false">IF(B28="","",(B28-B$47)/B$47*100)</f>
        <v/>
      </c>
      <c r="D28" s="15"/>
      <c r="E28" s="16" t="str">
        <f aca="false">IF(D28="","",(D28-D$47)/D$47*100)</f>
        <v/>
      </c>
      <c r="F28" s="15"/>
      <c r="G28" s="16" t="str">
        <f aca="false">IF(F28="","",(F28-F$47)/F$47*100)</f>
        <v/>
      </c>
    </row>
    <row r="29" customFormat="false" ht="15" hidden="false" customHeight="false" outlineLevel="0" collapsed="false">
      <c r="A29" s="0" t="s">
        <v>110</v>
      </c>
      <c r="B29" s="15"/>
      <c r="C29" s="16" t="str">
        <f aca="false">IF(B29="","",(B29-B$47)/B$47*100)</f>
        <v/>
      </c>
      <c r="D29" s="15"/>
      <c r="E29" s="16" t="str">
        <f aca="false">IF(D29="","",(D29-D$47)/D$47*100)</f>
        <v/>
      </c>
      <c r="F29" s="15"/>
      <c r="G29" s="16" t="str">
        <f aca="false">IF(F29="","",(F29-F$47)/F$47*100)</f>
        <v/>
      </c>
    </row>
    <row r="30" customFormat="false" ht="15" hidden="false" customHeight="false" outlineLevel="0" collapsed="false">
      <c r="A30" s="0" t="s">
        <v>111</v>
      </c>
      <c r="B30" s="15"/>
      <c r="C30" s="16" t="str">
        <f aca="false">IF(B30="","",(B30-B$47)/B$47*100)</f>
        <v/>
      </c>
      <c r="D30" s="15"/>
      <c r="E30" s="16" t="str">
        <f aca="false">IF(D30="","",(D30-D$47)/D$47*100)</f>
        <v/>
      </c>
      <c r="F30" s="15"/>
      <c r="G30" s="16" t="str">
        <f aca="false">IF(F30="","",(F30-F$47)/F$47*100)</f>
        <v/>
      </c>
    </row>
    <row r="31" customFormat="false" ht="15" hidden="false" customHeight="false" outlineLevel="0" collapsed="false">
      <c r="A31" s="0" t="s">
        <v>112</v>
      </c>
      <c r="B31" s="15"/>
      <c r="C31" s="16" t="str">
        <f aca="false">IF(B31="","",(B31-B$47)/B$47*100)</f>
        <v/>
      </c>
      <c r="D31" s="15"/>
      <c r="E31" s="16" t="str">
        <f aca="false">IF(D31="","",(D31-D$47)/D$47*100)</f>
        <v/>
      </c>
      <c r="F31" s="15"/>
      <c r="G31" s="16" t="str">
        <f aca="false">IF(F31="","",(F31-F$47)/F$47*100)</f>
        <v/>
      </c>
    </row>
    <row r="32" customFormat="false" ht="15" hidden="false" customHeight="false" outlineLevel="0" collapsed="false">
      <c r="A32" s="0" t="s">
        <v>113</v>
      </c>
      <c r="B32" s="15"/>
      <c r="C32" s="16" t="str">
        <f aca="false">IF(B32="","",(B32-B$47)/B$47*100)</f>
        <v/>
      </c>
      <c r="D32" s="15"/>
      <c r="E32" s="16" t="str">
        <f aca="false">IF(D32="","",(D32-D$47)/D$47*100)</f>
        <v/>
      </c>
      <c r="F32" s="15"/>
      <c r="G32" s="16" t="str">
        <f aca="false">IF(F32="","",(F32-F$47)/F$47*100)</f>
        <v/>
      </c>
    </row>
    <row r="33" customFormat="false" ht="15" hidden="false" customHeight="false" outlineLevel="0" collapsed="false">
      <c r="A33" s="0" t="s">
        <v>114</v>
      </c>
      <c r="B33" s="15"/>
      <c r="C33" s="16" t="str">
        <f aca="false">IF(B33="","",(B33-B$47)/B$47*100)</f>
        <v/>
      </c>
      <c r="D33" s="15"/>
      <c r="E33" s="16" t="str">
        <f aca="false">IF(D33="","",(D33-D$47)/D$47*100)</f>
        <v/>
      </c>
      <c r="F33" s="15"/>
      <c r="G33" s="16" t="str">
        <f aca="false">IF(F33="","",(F33-F$47)/F$47*100)</f>
        <v/>
      </c>
    </row>
    <row r="34" customFormat="false" ht="15" hidden="false" customHeight="false" outlineLevel="0" collapsed="false">
      <c r="A34" s="0" t="s">
        <v>115</v>
      </c>
      <c r="B34" s="15"/>
      <c r="C34" s="16" t="str">
        <f aca="false">IF(B34="","",(B34-B$47)/B$47*100)</f>
        <v/>
      </c>
      <c r="D34" s="15"/>
      <c r="E34" s="16" t="str">
        <f aca="false">IF(D34="","",(D34-D$47)/D$47*100)</f>
        <v/>
      </c>
      <c r="F34" s="15"/>
      <c r="G34" s="16" t="str">
        <f aca="false">IF(F34="","",(F34-F$47)/F$47*100)</f>
        <v/>
      </c>
    </row>
    <row r="35" customFormat="false" ht="15" hidden="false" customHeight="false" outlineLevel="0" collapsed="false">
      <c r="A35" s="0" t="s">
        <v>116</v>
      </c>
      <c r="B35" s="15"/>
      <c r="C35" s="16" t="str">
        <f aca="false">IF(B35="","",(B35-B$47)/B$47*100)</f>
        <v/>
      </c>
      <c r="D35" s="15"/>
      <c r="E35" s="16" t="str">
        <f aca="false">IF(D35="","",(D35-D$47)/D$47*100)</f>
        <v/>
      </c>
      <c r="F35" s="15"/>
      <c r="G35" s="16" t="str">
        <f aca="false">IF(F35="","",(F35-F$47)/F$47*100)</f>
        <v/>
      </c>
    </row>
    <row r="36" customFormat="false" ht="15" hidden="false" customHeight="false" outlineLevel="0" collapsed="false">
      <c r="A36" s="0" t="s">
        <v>117</v>
      </c>
      <c r="B36" s="15"/>
      <c r="C36" s="16" t="str">
        <f aca="false">IF(B36="","",(B36-B$47)/B$47*100)</f>
        <v/>
      </c>
      <c r="D36" s="15"/>
      <c r="E36" s="16" t="str">
        <f aca="false">IF(D36="","",(D36-D$47)/D$47*100)</f>
        <v/>
      </c>
      <c r="F36" s="15"/>
      <c r="G36" s="16" t="str">
        <f aca="false">IF(F36="","",(F36-F$47)/F$47*100)</f>
        <v/>
      </c>
    </row>
    <row r="37" customFormat="false" ht="15" hidden="false" customHeight="false" outlineLevel="0" collapsed="false">
      <c r="A37" s="0" t="s">
        <v>118</v>
      </c>
      <c r="B37" s="15"/>
      <c r="C37" s="16" t="str">
        <f aca="false">IF(B37="","",(B37-B$47)/B$47*100)</f>
        <v/>
      </c>
      <c r="D37" s="15"/>
      <c r="E37" s="16" t="str">
        <f aca="false">IF(D37="","",(D37-D$47)/D$47*100)</f>
        <v/>
      </c>
      <c r="F37" s="15"/>
      <c r="G37" s="16" t="str">
        <f aca="false">IF(F37="","",(F37-F$47)/F$47*100)</f>
        <v/>
      </c>
    </row>
    <row r="38" customFormat="false" ht="15" hidden="false" customHeight="false" outlineLevel="0" collapsed="false">
      <c r="A38" s="0" t="s">
        <v>119</v>
      </c>
      <c r="B38" s="15"/>
      <c r="C38" s="16" t="str">
        <f aca="false">IF(B38="","",(B38-B$47)/B$47*100)</f>
        <v/>
      </c>
      <c r="D38" s="15"/>
      <c r="E38" s="16" t="str">
        <f aca="false">IF(D38="","",(D38-D$47)/D$47*100)</f>
        <v/>
      </c>
      <c r="F38" s="15"/>
      <c r="G38" s="16" t="str">
        <f aca="false">IF(F38="","",(F38-F$47)/F$47*100)</f>
        <v/>
      </c>
    </row>
    <row r="39" customFormat="false" ht="15" hidden="false" customHeight="false" outlineLevel="0" collapsed="false">
      <c r="A39" s="0" t="s">
        <v>120</v>
      </c>
      <c r="B39" s="15"/>
      <c r="C39" s="16" t="str">
        <f aca="false">IF(B39="","",(B39-B$47)/B$47*100)</f>
        <v/>
      </c>
      <c r="D39" s="15"/>
      <c r="E39" s="16" t="str">
        <f aca="false">IF(D39="","",(D39-D$47)/D$47*100)</f>
        <v/>
      </c>
      <c r="F39" s="15"/>
      <c r="G39" s="16" t="str">
        <f aca="false">IF(F39="","",(F39-F$47)/F$47*100)</f>
        <v/>
      </c>
    </row>
    <row r="40" customFormat="false" ht="15" hidden="false" customHeight="false" outlineLevel="0" collapsed="false">
      <c r="A40" s="0" t="s">
        <v>121</v>
      </c>
      <c r="B40" s="15"/>
      <c r="C40" s="16" t="str">
        <f aca="false">IF(B40="","",(B40-B$47)/B$47*100)</f>
        <v/>
      </c>
      <c r="D40" s="15"/>
      <c r="E40" s="16" t="str">
        <f aca="false">IF(D40="","",(D40-D$47)/D$47*100)</f>
        <v/>
      </c>
      <c r="F40" s="15"/>
      <c r="G40" s="16" t="str">
        <f aca="false">IF(F40="","",(F40-F$47)/F$47*100)</f>
        <v/>
      </c>
    </row>
    <row r="41" customFormat="false" ht="15" hidden="false" customHeight="false" outlineLevel="0" collapsed="false">
      <c r="A41" s="0" t="s">
        <v>122</v>
      </c>
      <c r="B41" s="15"/>
      <c r="C41" s="16" t="str">
        <f aca="false">IF(B41="","",(B41-B$47)/B$47*100)</f>
        <v/>
      </c>
      <c r="D41" s="15"/>
      <c r="E41" s="16" t="str">
        <f aca="false">IF(D41="","",(D41-D$47)/D$47*100)</f>
        <v/>
      </c>
      <c r="F41" s="15"/>
      <c r="G41" s="16" t="str">
        <f aca="false">IF(F41="","",(F41-F$47)/F$47*100)</f>
        <v/>
      </c>
    </row>
    <row r="42" customFormat="false" ht="15" hidden="false" customHeight="false" outlineLevel="0" collapsed="false">
      <c r="A42" s="0" t="s">
        <v>123</v>
      </c>
      <c r="B42" s="15"/>
      <c r="C42" s="16" t="str">
        <f aca="false">IF(B42="","",(B42-B$47)/B$47*100)</f>
        <v/>
      </c>
      <c r="D42" s="15"/>
      <c r="E42" s="16" t="str">
        <f aca="false">IF(D42="","",(D42-D$47)/D$47*100)</f>
        <v/>
      </c>
      <c r="F42" s="15"/>
      <c r="G42" s="16" t="str">
        <f aca="false">IF(F42="","",(F42-F$47)/F$47*100)</f>
        <v/>
      </c>
    </row>
    <row r="43" customFormat="false" ht="15" hidden="false" customHeight="false" outlineLevel="0" collapsed="false">
      <c r="A43" s="0" t="s">
        <v>124</v>
      </c>
      <c r="B43" s="15"/>
      <c r="C43" s="16" t="str">
        <f aca="false">IF(B43="","",(B43-B$47)/B$47*100)</f>
        <v/>
      </c>
      <c r="D43" s="15"/>
      <c r="E43" s="16" t="str">
        <f aca="false">IF(D43="","",(D43-D$47)/D$47*100)</f>
        <v/>
      </c>
      <c r="F43" s="15"/>
      <c r="G43" s="16" t="str">
        <f aca="false">IF(F43="","",(F43-F$47)/F$47*100)</f>
        <v/>
      </c>
    </row>
    <row r="44" customFormat="false" ht="15" hidden="false" customHeight="false" outlineLevel="0" collapsed="false">
      <c r="A44" s="0" t="s">
        <v>125</v>
      </c>
      <c r="B44" s="15"/>
      <c r="C44" s="16" t="str">
        <f aca="false">IF(B44="","",(B44-B$47)/B$47*100)</f>
        <v/>
      </c>
      <c r="D44" s="15"/>
      <c r="E44" s="16" t="str">
        <f aca="false">IF(D44="","",(D44-D$47)/D$47*100)</f>
        <v/>
      </c>
      <c r="F44" s="15"/>
      <c r="G44" s="16" t="str">
        <f aca="false">IF(F44="","",(F44-F$47)/F$47*100)</f>
        <v/>
      </c>
    </row>
    <row r="45" customFormat="false" ht="15" hidden="false" customHeight="false" outlineLevel="0" collapsed="false">
      <c r="A45" s="0" t="s">
        <v>126</v>
      </c>
      <c r="B45" s="15"/>
      <c r="C45" s="16" t="str">
        <f aca="false">IF(B45="","",(B45-B$47)/B$47*100)</f>
        <v/>
      </c>
      <c r="D45" s="15"/>
      <c r="E45" s="16" t="str">
        <f aca="false">IF(D45="","",(D45-D$47)/D$47*100)</f>
        <v/>
      </c>
      <c r="F45" s="15"/>
      <c r="G45" s="16" t="str">
        <f aca="false">IF(F45="","",(F45-F$47)/F$47*100)</f>
        <v/>
      </c>
    </row>
    <row r="47" customFormat="false" ht="15" hidden="false" customHeight="false" outlineLevel="0" collapsed="false">
      <c r="A47" s="0" t="s">
        <v>127</v>
      </c>
      <c r="B47" s="16" t="str">
        <f aca="false">IFERROR(AVERAGE(B6:B45),"")</f>
        <v/>
      </c>
      <c r="D47" s="16" t="str">
        <f aca="false">IFERROR(AVERAGE(D6:D45),"")</f>
        <v/>
      </c>
      <c r="F47" s="16" t="str">
        <f aca="false">IFERROR(AVERAGE(F6:F45),"")</f>
        <v/>
      </c>
    </row>
    <row r="48" customFormat="false" ht="15" hidden="false" customHeight="false" outlineLevel="0" collapsed="false">
      <c r="A48" s="0" t="s">
        <v>128</v>
      </c>
      <c r="B48" s="0" t="str">
        <f aca="false">IF(B47="","",COUNTIF(C6:C45,"&gt;"&amp;$B$3)+COUNTIF(C6:C45,"&lt;"&amp;-$B$3))</f>
        <v/>
      </c>
      <c r="D48" s="0" t="str">
        <f aca="false">IF(D47="","",COUNTIF(E6:E45,"&gt;"&amp;$B$3)+COUNTIF(E6:E45,"&lt;"&amp;-$B$3))</f>
        <v/>
      </c>
      <c r="F48" s="0" t="str">
        <f aca="false">IF(F47="","",COUNTIF(G6:G45,"&gt;"&amp;$B$3)+COUNTIF(G6:G45,"&lt;"&amp;-$B$3))</f>
        <v/>
      </c>
    </row>
    <row r="49" customFormat="false" ht="15" hidden="false" customHeight="false" outlineLevel="0" collapsed="false">
      <c r="A49" s="0" t="s">
        <v>75</v>
      </c>
      <c r="B49" s="0" t="str">
        <f aca="false">IF(B48="","",IF(B48=0,"Sin cortocircuito","Revisar pares marcados"))</f>
        <v/>
      </c>
      <c r="D49" s="0" t="str">
        <f aca="false">IF(D48="","",IF(D48=0,"Sin cortocircuito","Revisar pares marcados"))</f>
        <v/>
      </c>
      <c r="F49" s="0" t="str">
        <f aca="false">IF(F48="","",IF(F48=0,"Sin cortocircuito","Revisar pares marcados"))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2026-10-01T06:34:18Z</dcterms:created>
  <dc:creator>openpyxl</dc:creator>
  <dc:description/>
  <dc:language>en-US</dc:language>
  <cp:lastModifiedBy/>
  <dcterms:modified xsi:type="dcterms:W3CDTF">2026-10-01T06:34:18Z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